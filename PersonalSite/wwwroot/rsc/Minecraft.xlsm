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oehm\Documents\Excel games\"/>
    </mc:Choice>
  </mc:AlternateContent>
  <xr:revisionPtr revIDLastSave="0" documentId="13_ncr:1_{B902B2FA-DE50-4979-B9AE-920AB07F20E6}" xr6:coauthVersionLast="47" xr6:coauthVersionMax="47" xr10:uidLastSave="{00000000-0000-0000-0000-000000000000}"/>
  <bookViews>
    <workbookView xWindow="-110" yWindow="-110" windowWidth="18220" windowHeight="11620" xr2:uid="{C8CBA3AF-29A6-4894-84DC-936E314C250F}"/>
  </bookViews>
  <sheets>
    <sheet name="Title Screen" sheetId="5" r:id="rId1"/>
    <sheet name="Game" sheetId="1" r:id="rId2"/>
    <sheet name="Inventory" sheetId="2" r:id="rId3"/>
    <sheet name="Instructions" sheetId="4" r:id="rId4"/>
    <sheet name="Recipe maker" sheetId="3" r:id="rId5"/>
  </sheets>
  <functionGroups builtInGroupCount="19"/>
  <definedNames>
    <definedName name="BigCraftingGrid">Inventory!$L$1:$L$3,Inventory!$M$1:$N$1</definedName>
    <definedName name="CraftingResult">Inventory!$P$2</definedName>
    <definedName name="GameScreen">Game!$A$2:$AB$51</definedName>
    <definedName name="Inventory">Inventory!$H$5:$P$7,Inventory!$H$9:$P$9</definedName>
    <definedName name="InventoryRow">Game!$J$1:$R$1</definedName>
    <definedName name="KeyboardStatus">Game!$AD$7</definedName>
    <definedName name="SmallCraftingGrid">Inventory!$M$2:$N$3</definedName>
    <definedName name="UIBlock">Game!$AC$9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1" l="1"/>
  <c r="K1" i="1"/>
  <c r="AO7" i="5"/>
  <c r="AO10" i="5" s="1"/>
  <c r="P1" i="1"/>
  <c r="R1" i="1"/>
  <c r="E12" i="2"/>
  <c r="D12" i="2"/>
  <c r="C12" i="2"/>
  <c r="S4" i="1"/>
  <c r="T3" i="1"/>
  <c r="W3" i="1"/>
  <c r="U3" i="1"/>
  <c r="V3" i="1"/>
  <c r="L7" i="1"/>
  <c r="K7" i="1"/>
  <c r="J7" i="1"/>
  <c r="I7" i="1"/>
  <c r="G7" i="1"/>
  <c r="F7" i="1"/>
  <c r="M7" i="1"/>
  <c r="F8" i="1"/>
  <c r="G8" i="1"/>
  <c r="H7" i="1"/>
  <c r="A12" i="2" l="1"/>
  <c r="G12" i="2"/>
  <c r="F12" i="2"/>
  <c r="B12" i="2"/>
  <c r="H12" i="2"/>
  <c r="O1" i="1"/>
  <c r="N7" i="1"/>
  <c r="AD8" i="1" a="1"/>
  <c r="R6" i="1"/>
  <c r="O7" i="1"/>
  <c r="AD9" i="1" a="1"/>
  <c r="P2" i="2" l="1"/>
  <c r="AD9" i="1"/>
  <c r="AD8" i="1"/>
  <c r="Q1" i="1"/>
  <c r="N1" i="1"/>
  <c r="M1" i="1"/>
  <c r="L1" i="1"/>
  <c r="Q2" i="3" l="1"/>
  <c r="Q1" i="3"/>
  <c r="Q7" i="1"/>
  <c r="S5" i="1"/>
  <c r="E7" i="1"/>
  <c r="AA5" i="1"/>
  <c r="A4" i="1"/>
  <c r="P7" i="1"/>
  <c r="R7" i="1"/>
  <c r="Y5" i="1"/>
  <c r="W4" i="1"/>
  <c r="B4" i="1"/>
  <c r="B5" i="1" s="1"/>
  <c r="B6" i="1" s="1"/>
  <c r="B7" i="1" s="1"/>
  <c r="D6" i="1"/>
  <c r="Z5" i="1"/>
  <c r="D7" i="1"/>
  <c r="D8" i="1" s="1"/>
  <c r="S6" i="1"/>
  <c r="X4" i="1"/>
  <c r="X5" i="1" s="1"/>
  <c r="X6" i="1" s="1"/>
  <c r="C5" i="1"/>
  <c r="C6" i="1" s="1"/>
  <c r="V4" i="1"/>
  <c r="V5" i="1" s="1"/>
  <c r="V6" i="1" s="1"/>
  <c r="V7" i="1" s="1"/>
  <c r="AB5" i="1"/>
  <c r="Z6" i="1"/>
  <c r="AA6" i="1"/>
  <c r="U4" i="1"/>
  <c r="S7" i="1"/>
  <c r="S8" i="1" s="1"/>
  <c r="S9" i="1"/>
  <c r="T4" i="1"/>
  <c r="T5" i="1" s="1"/>
  <c r="T6" i="1" s="1"/>
  <c r="E8" i="1"/>
  <c r="W5" i="1"/>
  <c r="W6" i="1" s="1"/>
  <c r="Y6" i="1"/>
  <c r="A5" i="1"/>
  <c r="A6" i="1" s="1"/>
  <c r="A7" i="1" s="1"/>
  <c r="U5" i="1"/>
  <c r="U6" i="1" s="1"/>
  <c r="AB6" i="1"/>
  <c r="C7" i="1"/>
  <c r="U7" i="1"/>
  <c r="T7" i="1"/>
  <c r="T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<sst xmlns="http://schemas.openxmlformats.org/spreadsheetml/2006/main" count="1362" uniqueCount="33">
  <si>
    <t>Sky</t>
  </si>
  <si>
    <t>Stone</t>
  </si>
  <si>
    <t>Oak log</t>
  </si>
  <si>
    <t>Oak leaves</t>
  </si>
  <si>
    <t>Stick</t>
  </si>
  <si>
    <t>Cheat Sheet:</t>
  </si>
  <si>
    <t>"Title Screen" tab:</t>
  </si>
  <si>
    <t>doesn't do anything special</t>
  </si>
  <si>
    <t xml:space="preserve"> </t>
  </si>
  <si>
    <t>"Game" tab:</t>
  </si>
  <si>
    <t>Click "Disable WASD" to turn it off again so Excel stops eating the WASD keys (otherwise typing could be problematic)</t>
  </si>
  <si>
    <t>(These should be auto-triggered when you switch to and from the Game tab, so you shouldn’t need to click either of them unless you have to disable it to modify the sheet)</t>
  </si>
  <si>
    <t>Click "Enable WASD" to turn on Steve movement - Excel will eat the WASD keys and move him around.</t>
  </si>
  <si>
    <t>"Inventory" tab:</t>
  </si>
  <si>
    <t>Bedrock</t>
  </si>
  <si>
    <t>Inventory</t>
  </si>
  <si>
    <t>Diamond ore</t>
  </si>
  <si>
    <t>Ladder</t>
  </si>
  <si>
    <t>Coal ore</t>
  </si>
  <si>
    <t>Iron ore</t>
  </si>
  <si>
    <t>Trash</t>
  </si>
  <si>
    <t>Click on an item in the hotbar to "select" it (it should turn bold.)</t>
  </si>
  <si>
    <t>Click "Reset Coordinates" to set the in-game coordinates to the numbers below the button.</t>
  </si>
  <si>
    <t>Click on a non-inventory square to interact with it.</t>
  </si>
  <si>
    <t>If you need to move the Enable/DisableWASD buttons, right clicking them should let you drag them around.</t>
  </si>
  <si>
    <t>Click an item to select it.</t>
  </si>
  <si>
    <t>Click another item to swap their places.</t>
  </si>
  <si>
    <t>Click the crafting grid to take one out of the stack of the selected item and put it into the grid.</t>
  </si>
  <si>
    <t>Utilities</t>
  </si>
  <si>
    <t>Divider</t>
  </si>
  <si>
    <t>Disabled</t>
  </si>
  <si>
    <t>N6</t>
  </si>
  <si>
    <t>IMPORTANT: If you get a popup saying something about an object defined error, change the value of cell AC8 to the cooridate of steve (spawn coordinate is N6). Then press the "Reset Coordinates"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</si>
</sst>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7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4" applyNumberFormat="0" applyFill="0" applyAlignment="0" applyProtection="0"/>
    <xf numFmtId="0" fontId="3" fillId="0" borderId="5" applyNumberFormat="0" applyFill="0" applyAlignment="0" applyProtection="0"/>
  </cellStyleXfs>
  <cellXfs count="35">
    <xf numFmtId="0" fontId="0" fillId="0" borderId="0" xfId="0"/>
    <xf numFmtId="0" fontId="0" fillId="2" borderId="0" xfId="0" applyFill="1" applyBorder="1"/>
    <xf numFmtId="0" fontId="0" fillId="0" borderId="3" xfId="0" applyBorder="1"/>
    <xf numFmtId="0" fontId="2" fillId="0" borderId="4" xfId="1"/>
    <xf numFmtId="0" fontId="3" fillId="0" borderId="5" xfId="2"/>
    <xf numFmtId="0" fontId="0" fillId="3" borderId="0" xfId="0" applyFill="1"/>
    <xf numFmtId="0" fontId="0" fillId="4" borderId="0" xfId="0" applyFill="1"/>
    <xf numFmtId="0" fontId="4" fillId="0" borderId="0" xfId="0" applyFont="1"/>
    <xf numFmtId="0" fontId="0" fillId="0" borderId="0" xfId="0" applyAlignment="1">
      <alignment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NumberFormat="1"/>
    <xf numFmtId="0" fontId="0" fillId="2" borderId="10" xfId="0" applyFill="1" applyBorder="1"/>
    <xf numFmtId="0" fontId="0" fillId="5" borderId="0" xfId="0" applyFill="1" applyBorder="1"/>
    <xf numFmtId="0" fontId="0" fillId="6" borderId="0" xfId="0" applyFill="1" applyBorder="1"/>
    <xf numFmtId="0" fontId="0" fillId="2" borderId="11" xfId="0" applyFill="1" applyBorder="1"/>
    <xf numFmtId="0" fontId="0" fillId="6" borderId="12" xfId="0" applyFill="1" applyBorder="1"/>
    <xf numFmtId="0" fontId="0" fillId="6" borderId="7" xfId="0" applyFill="1" applyBorder="1"/>
    <xf numFmtId="0" fontId="0" fillId="2" borderId="13" xfId="0" applyFill="1" applyBorder="1"/>
    <xf numFmtId="0" fontId="5" fillId="2" borderId="0" xfId="0" applyFont="1" applyFill="1" applyBorder="1" applyAlignment="1">
      <alignment horizontal="left" vertical="top"/>
    </xf>
    <xf numFmtId="0" fontId="0" fillId="0" borderId="8" xfId="0" applyFont="1" applyBorder="1" applyAlignment="1">
      <alignment wrapText="1"/>
    </xf>
    <xf numFmtId="0" fontId="0" fillId="0" borderId="3" xfId="0" applyFont="1" applyBorder="1" applyAlignment="1">
      <alignment wrapText="1"/>
    </xf>
    <xf numFmtId="0" fontId="0" fillId="0" borderId="9" xfId="0" applyFont="1" applyBorder="1" applyAlignment="1">
      <alignment wrapText="1"/>
    </xf>
    <xf numFmtId="0" fontId="0" fillId="0" borderId="0" xfId="0" applyFont="1" applyAlignment="1">
      <alignment wrapText="1"/>
    </xf>
    <xf numFmtId="0" fontId="0" fillId="0" borderId="3" xfId="0" applyNumberFormat="1" applyFont="1" applyBorder="1" applyAlignment="1">
      <alignment wrapText="1"/>
    </xf>
    <xf numFmtId="0" fontId="0" fillId="7" borderId="6" xfId="0" applyFont="1" applyFill="1" applyBorder="1" applyAlignment="1">
      <alignment wrapText="1"/>
    </xf>
    <xf numFmtId="0" fontId="6" fillId="0" borderId="3" xfId="0" applyFont="1" applyBorder="1" applyAlignment="1">
      <alignment wrapText="1"/>
    </xf>
    <xf numFmtId="0" fontId="0" fillId="2" borderId="0" xfId="0" applyFont="1" applyFill="1" applyBorder="1" applyAlignment="1">
      <alignment wrapText="1"/>
    </xf>
    <xf numFmtId="0" fontId="0" fillId="5" borderId="0" xfId="0" applyFill="1" applyAlignment="1">
      <alignment wrapText="1"/>
    </xf>
    <xf numFmtId="0" fontId="8" fillId="0" borderId="0" xfId="0" applyFont="1" applyAlignment="1">
      <alignment horizontal="center" wrapText="1"/>
    </xf>
    <xf numFmtId="0" fontId="7" fillId="6" borderId="0" xfId="0" applyFont="1" applyFill="1" applyBorder="1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Heading 2" xfId="1" builtinId="17"/>
    <cellStyle name="Heading 3" xfId="2" builtinId="18"/>
    <cellStyle name="Normal" xfId="0" builtinId="0"/>
  </cellStyles>
  <dxfs count="47">
    <dxf>
      <font>
        <strike val="0"/>
      </font>
      <fill>
        <patternFill>
          <bgColor rgb="FF7CAFDE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</dxf>
    <dxf>
      <fill>
        <patternFill patternType="gray0625">
          <bgColor rgb="FF996633"/>
        </patternFill>
      </fill>
      <border>
        <left/>
        <right/>
        <top style="thin">
          <color theme="9"/>
        </top>
        <bottom/>
        <vertical/>
        <horizontal/>
      </border>
    </dxf>
    <dxf>
      <fill>
        <patternFill patternType="gray0625">
          <bgColor rgb="FF996633"/>
        </patternFill>
      </fill>
      <border>
        <left/>
        <right/>
        <top/>
        <bottom/>
        <vertical/>
        <horizontal/>
      </border>
    </dxf>
    <dxf>
      <fill>
        <patternFill patternType="solid">
          <bgColor theme="0" tint="-0.24994659260841701"/>
        </patternFill>
      </fill>
      <border>
        <left/>
        <right/>
        <top/>
        <bottom/>
        <vertical/>
        <horizontal/>
      </border>
    </dxf>
    <dxf>
      <fill>
        <patternFill patternType="lightVertical">
          <bgColor rgb="FF89512B"/>
        </patternFill>
      </fill>
      <border>
        <left/>
        <right/>
        <top/>
        <bottom/>
      </border>
    </dxf>
    <dxf>
      <fill>
        <patternFill patternType="darkTrellis">
          <fgColor rgb="FF00B050"/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 patternType="lightHorizontal">
          <bgColor rgb="FFC09668"/>
        </patternFill>
      </fill>
      <border>
        <left/>
        <right/>
        <top/>
        <bottom/>
        <vertical/>
        <horizontal/>
      </border>
    </dxf>
    <dxf>
      <fill>
        <patternFill patternType="darkGrid">
          <bgColor rgb="FFB76205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 patternType="gray0625">
          <fgColor theme="1"/>
          <bgColor theme="0" tint="-0.24994659260841701"/>
        </patternFill>
      </fill>
    </dxf>
    <dxf>
      <fill>
        <patternFill patternType="gray0625">
          <fgColor theme="0" tint="-0.34998626667073579"/>
          <bgColor theme="1" tint="0.24994659260841701"/>
        </patternFill>
      </fill>
    </dxf>
    <dxf>
      <fill>
        <patternFill patternType="lightHorizontal">
          <fgColor rgb="FF00B0F0"/>
          <bgColor theme="0" tint="-0.24994659260841701"/>
        </patternFill>
      </fill>
    </dxf>
    <dxf>
      <fill>
        <patternFill patternType="darkHorizontal">
          <fgColor theme="1" tint="0.34998626667073579"/>
          <bgColor theme="0" tint="-0.24994659260841701"/>
        </patternFill>
      </fill>
    </dxf>
    <dxf>
      <fill>
        <patternFill patternType="darkHorizontal">
          <fgColor rgb="FFCAA780"/>
          <bgColor theme="0" tint="-0.24994659260841701"/>
        </patternFill>
      </fill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strike val="0"/>
      </font>
      <fill>
        <patternFill>
          <bgColor rgb="FF7CAFDE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</dxf>
    <dxf>
      <fill>
        <patternFill patternType="gray0625">
          <bgColor rgb="FF996633"/>
        </patternFill>
      </fill>
      <border>
        <left/>
        <right/>
        <top style="thin">
          <color theme="9"/>
        </top>
        <bottom/>
        <vertical/>
        <horizontal/>
      </border>
    </dxf>
    <dxf>
      <fill>
        <patternFill patternType="gray0625">
          <bgColor rgb="FF996633"/>
        </patternFill>
      </fill>
      <border>
        <left/>
        <right/>
        <top/>
        <bottom/>
        <vertical/>
        <horizontal/>
      </border>
    </dxf>
    <dxf>
      <fill>
        <patternFill patternType="solid">
          <bgColor theme="0" tint="-0.24994659260841701"/>
        </patternFill>
      </fill>
      <border>
        <left/>
        <right/>
        <top/>
        <bottom/>
        <vertical/>
        <horizontal/>
      </border>
    </dxf>
    <dxf>
      <fill>
        <patternFill patternType="lightVertical">
          <bgColor rgb="FF89512B"/>
        </patternFill>
      </fill>
      <border>
        <left/>
        <right/>
        <top/>
        <bottom/>
      </border>
    </dxf>
    <dxf>
      <fill>
        <patternFill patternType="darkTrellis">
          <fgColor rgb="FF00B050"/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 patternType="lightHorizontal">
          <bgColor rgb="FFC09668"/>
        </patternFill>
      </fill>
      <border>
        <left/>
        <right/>
        <top/>
        <bottom/>
        <vertical/>
        <horizontal/>
      </border>
    </dxf>
    <dxf>
      <fill>
        <patternFill patternType="darkGrid">
          <bgColor rgb="FFB76205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 patternType="gray0625">
          <fgColor theme="1"/>
          <bgColor theme="0" tint="-0.24994659260841701"/>
        </patternFill>
      </fill>
    </dxf>
    <dxf>
      <fill>
        <patternFill patternType="gray0625">
          <fgColor theme="0" tint="-0.34998626667073579"/>
          <bgColor theme="1" tint="0.24994659260841701"/>
        </patternFill>
      </fill>
    </dxf>
    <dxf>
      <fill>
        <patternFill patternType="lightHorizontal">
          <fgColor rgb="FF00B0F0"/>
          <bgColor theme="0" tint="-0.24994659260841701"/>
        </patternFill>
      </fill>
    </dxf>
    <dxf>
      <fill>
        <patternFill patternType="darkHorizontal">
          <fgColor theme="1" tint="0.34998626667073579"/>
          <bgColor theme="0" tint="-0.24994659260841701"/>
        </patternFill>
      </fill>
    </dxf>
    <dxf>
      <fill>
        <patternFill patternType="darkHorizontal">
          <fgColor rgb="FFCAA780"/>
          <bgColor theme="0" tint="-0.24994659260841701"/>
        </patternFill>
      </fill>
    </dxf>
    <dxf>
      <fill>
        <patternFill>
          <bgColor theme="1"/>
        </patternFill>
      </fill>
    </dxf>
    <dxf>
      <font>
        <strike val="0"/>
      </font>
      <fill>
        <patternFill>
          <bgColor rgb="FF7CAFDE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</dxf>
    <dxf>
      <fill>
        <patternFill patternType="gray0625">
          <bgColor rgb="FF996633"/>
        </patternFill>
      </fill>
      <border>
        <left/>
        <right/>
        <top style="thin">
          <color theme="9"/>
        </top>
        <bottom/>
        <vertical/>
        <horizontal/>
      </border>
    </dxf>
    <dxf>
      <fill>
        <patternFill patternType="gray0625">
          <bgColor rgb="FF996633"/>
        </patternFill>
      </fill>
      <border>
        <left/>
        <right/>
        <top/>
        <bottom/>
        <vertical/>
        <horizontal/>
      </border>
    </dxf>
    <dxf>
      <fill>
        <patternFill patternType="solid">
          <bgColor theme="0" tint="-0.24994659260841701"/>
        </patternFill>
      </fill>
      <border>
        <left/>
        <right/>
        <top/>
        <bottom/>
        <vertical/>
        <horizontal/>
      </border>
    </dxf>
    <dxf>
      <fill>
        <patternFill patternType="lightVertical">
          <bgColor rgb="FF89512B"/>
        </patternFill>
      </fill>
      <border>
        <left/>
        <right/>
        <top/>
        <bottom/>
      </border>
    </dxf>
    <dxf>
      <fill>
        <patternFill patternType="darkTrellis">
          <fgColor rgb="FF00B050"/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 patternType="lightHorizontal">
          <bgColor rgb="FFC09668"/>
        </patternFill>
      </fill>
      <border>
        <left/>
        <right/>
        <top/>
        <bottom/>
        <vertical/>
        <horizontal/>
      </border>
    </dxf>
    <dxf>
      <fill>
        <patternFill patternType="darkGrid">
          <bgColor rgb="FFB76205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 patternType="gray0625">
          <fgColor theme="1"/>
          <bgColor theme="0" tint="-0.24994659260841701"/>
        </patternFill>
      </fill>
    </dxf>
    <dxf>
      <fill>
        <patternFill patternType="gray0625">
          <fgColor theme="0" tint="-0.34998626667073579"/>
          <bgColor theme="1" tint="0.24994659260841701"/>
        </patternFill>
      </fill>
    </dxf>
    <dxf>
      <fill>
        <patternFill patternType="lightHorizontal">
          <fgColor rgb="FF00B0F0"/>
          <bgColor theme="0" tint="-0.24994659260841701"/>
        </patternFill>
      </fill>
    </dxf>
    <dxf>
      <fill>
        <patternFill patternType="darkHorizontal">
          <fgColor theme="1" tint="0.34998626667073579"/>
          <bgColor theme="0" tint="-0.24994659260841701"/>
        </patternFill>
      </fill>
    </dxf>
    <dxf>
      <fill>
        <patternFill patternType="darkHorizontal">
          <fgColor rgb="FFCAA780"/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CAA780"/>
      <color rgb="FFC09668"/>
      <color rgb="FFD6BB9E"/>
      <color rgb="FFFFFFFF"/>
      <color rgb="FF7CAFDE"/>
      <color rgb="FFB76205"/>
      <color rgb="FFAC7F00"/>
      <color rgb="FFCC9900"/>
      <color rgb="FF99660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135482</xdr:colOff>
      <xdr:row>8</xdr:row>
      <xdr:rowOff>160958</xdr:rowOff>
    </xdr:from>
    <xdr:to>
      <xdr:col>71</xdr:col>
      <xdr:colOff>193164</xdr:colOff>
      <xdr:row>10</xdr:row>
      <xdr:rowOff>132381</xdr:rowOff>
    </xdr:to>
    <xdr:sp macro="" textlink="$AO$10">
      <xdr:nvSpPr>
        <xdr:cNvPr id="3" name="TextBox 2">
          <a:extLst>
            <a:ext uri="{FF2B5EF4-FFF2-40B4-BE49-F238E27FC236}">
              <a16:creationId xmlns:a16="http://schemas.microsoft.com/office/drawing/2014/main" id="{4631299D-AD5A-4216-9698-F9B637C8B609}"/>
            </a:ext>
          </a:extLst>
        </xdr:cNvPr>
        <xdr:cNvSpPr txBox="1"/>
      </xdr:nvSpPr>
      <xdr:spPr>
        <a:xfrm rot="20301836">
          <a:off x="6524202" y="1709738"/>
          <a:ext cx="7414389" cy="3586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2D9155-AE77-4D55-99D8-079D65605D35}" type="TxLink">
            <a:rPr lang="en-US" sz="2000" b="1" i="0" u="none" strike="noStrike">
              <a:solidFill>
                <a:srgbClr val="FFC000"/>
              </a:solidFill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  <a:latin typeface="Calibri"/>
              <a:cs typeface="Calibri"/>
            </a:rPr>
            <a:pPr algn="ctr"/>
            <a:t>Quick, pretend you're working!</a:t>
          </a:fld>
          <a:endParaRPr lang="en-US" sz="2000" b="1">
            <a:solidFill>
              <a:schemeClr val="accent4">
                <a:lumMod val="60000"/>
                <a:lumOff val="40000"/>
              </a:schemeClr>
            </a:solidFill>
            <a:effectLst>
              <a:innerShdw blurRad="63500" dist="50800" dir="81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  <xdr:twoCellAnchor>
    <xdr:from>
      <xdr:col>20</xdr:col>
      <xdr:colOff>7745</xdr:colOff>
      <xdr:row>15</xdr:row>
      <xdr:rowOff>9940</xdr:rowOff>
    </xdr:from>
    <xdr:to>
      <xdr:col>49</xdr:col>
      <xdr:colOff>154124</xdr:colOff>
      <xdr:row>18</xdr:row>
      <xdr:rowOff>5219</xdr:rowOff>
    </xdr:to>
    <xdr:sp macro="[0]!GoToGame" textlink="">
      <xdr:nvSpPr>
        <xdr:cNvPr id="7" name="TextBox 6">
          <a:extLst>
            <a:ext uri="{FF2B5EF4-FFF2-40B4-BE49-F238E27FC236}">
              <a16:creationId xmlns:a16="http://schemas.microsoft.com/office/drawing/2014/main" id="{595FA36F-609E-4AA9-81A2-23D1B0575187}"/>
            </a:ext>
          </a:extLst>
        </xdr:cNvPr>
        <xdr:cNvSpPr txBox="1">
          <a:spLocks noChangeAspect="1"/>
        </xdr:cNvSpPr>
      </xdr:nvSpPr>
      <xdr:spPr>
        <a:xfrm>
          <a:off x="3879696" y="2913903"/>
          <a:ext cx="5760708" cy="57607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rtlCol="0" anchor="ctr" anchorCtr="0">
          <a:noAutofit/>
        </a:bodyPr>
        <a:lstStyle/>
        <a:p>
          <a:pPr lvl="0" algn="ctr"/>
          <a:r>
            <a:rPr lang="en-US" sz="2400" b="1">
              <a:solidFill>
                <a:schemeClr val="bg1"/>
              </a:solidFill>
            </a:rPr>
            <a:t>Single</a:t>
          </a:r>
          <a:r>
            <a:rPr lang="en-US" sz="2400" b="1" baseline="0">
              <a:solidFill>
                <a:schemeClr val="bg1"/>
              </a:solidFill>
            </a:rPr>
            <a:t>player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2276</xdr:colOff>
      <xdr:row>4</xdr:row>
      <xdr:rowOff>4019</xdr:rowOff>
    </xdr:from>
    <xdr:to>
      <xdr:col>14</xdr:col>
      <xdr:colOff>643</xdr:colOff>
      <xdr:row>6</xdr:row>
      <xdr:rowOff>753</xdr:rowOff>
    </xdr:to>
    <xdr:pic>
      <xdr:nvPicPr>
        <xdr:cNvPr id="7" name="steve">
          <a:extLst>
            <a:ext uri="{FF2B5EF4-FFF2-40B4-BE49-F238E27FC236}">
              <a16:creationId xmlns:a16="http://schemas.microsoft.com/office/drawing/2014/main" id="{5140EB51-1E32-476C-8128-6892C72F9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7276" y="2544019"/>
          <a:ext cx="633367" cy="1266734"/>
        </a:xfrm>
        <a:prstGeom prst="rect">
          <a:avLst/>
        </a:prstGeom>
      </xdr:spPr>
    </xdr:pic>
    <xdr:clientData/>
  </xdr:twoCellAnchor>
  <xdr:twoCellAnchor>
    <xdr:from>
      <xdr:col>29</xdr:col>
      <xdr:colOff>84667</xdr:colOff>
      <xdr:row>2</xdr:row>
      <xdr:rowOff>264583</xdr:rowOff>
    </xdr:from>
    <xdr:to>
      <xdr:col>31</xdr:col>
      <xdr:colOff>518583</xdr:colOff>
      <xdr:row>3</xdr:row>
      <xdr:rowOff>232833</xdr:rowOff>
    </xdr:to>
    <xdr:sp macro="[0]!EnableWASD" textlink="">
      <xdr:nvSpPr>
        <xdr:cNvPr id="8" name="Rectangle 7">
          <a:extLst>
            <a:ext uri="{FF2B5EF4-FFF2-40B4-BE49-F238E27FC236}">
              <a16:creationId xmlns:a16="http://schemas.microsoft.com/office/drawing/2014/main" id="{DFD98546-2EA5-4368-9826-4C9DC5B6007D}"/>
            </a:ext>
          </a:extLst>
        </xdr:cNvPr>
        <xdr:cNvSpPr/>
      </xdr:nvSpPr>
      <xdr:spPr>
        <a:xfrm>
          <a:off x="18499667" y="1534583"/>
          <a:ext cx="1703916" cy="603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Enable</a:t>
          </a:r>
          <a:r>
            <a:rPr lang="en-US" sz="2000" baseline="0"/>
            <a:t> WASD</a:t>
          </a:r>
          <a:endParaRPr lang="en-US" sz="2000"/>
        </a:p>
      </xdr:txBody>
    </xdr:sp>
    <xdr:clientData/>
  </xdr:twoCellAnchor>
  <xdr:twoCellAnchor>
    <xdr:from>
      <xdr:col>29</xdr:col>
      <xdr:colOff>110067</xdr:colOff>
      <xdr:row>3</xdr:row>
      <xdr:rowOff>618067</xdr:rowOff>
    </xdr:from>
    <xdr:to>
      <xdr:col>31</xdr:col>
      <xdr:colOff>543983</xdr:colOff>
      <xdr:row>4</xdr:row>
      <xdr:rowOff>586317</xdr:rowOff>
    </xdr:to>
    <xdr:sp macro="[0]!DisableWASD" textlink="">
      <xdr:nvSpPr>
        <xdr:cNvPr id="9" name="Rectangle 8">
          <a:extLst>
            <a:ext uri="{FF2B5EF4-FFF2-40B4-BE49-F238E27FC236}">
              <a16:creationId xmlns:a16="http://schemas.microsoft.com/office/drawing/2014/main" id="{31669784-15A7-42D3-9B08-92B9625798C5}"/>
            </a:ext>
          </a:extLst>
        </xdr:cNvPr>
        <xdr:cNvSpPr/>
      </xdr:nvSpPr>
      <xdr:spPr>
        <a:xfrm>
          <a:off x="18525067" y="2523067"/>
          <a:ext cx="1703916" cy="603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aseline="0"/>
            <a:t>Disable WASD</a:t>
          </a:r>
        </a:p>
        <a:p>
          <a:pPr algn="l"/>
          <a:endParaRPr lang="en-US" sz="1100"/>
        </a:p>
      </xdr:txBody>
    </xdr:sp>
    <xdr:clientData/>
  </xdr:twoCellAnchor>
  <xdr:twoCellAnchor>
    <xdr:from>
      <xdr:col>29</xdr:col>
      <xdr:colOff>103717</xdr:colOff>
      <xdr:row>5</xdr:row>
      <xdr:rowOff>93133</xdr:rowOff>
    </xdr:from>
    <xdr:to>
      <xdr:col>31</xdr:col>
      <xdr:colOff>537633</xdr:colOff>
      <xdr:row>6</xdr:row>
      <xdr:rowOff>137583</xdr:rowOff>
    </xdr:to>
    <xdr:sp macro="[0]!ResetCoords" textlink="">
      <xdr:nvSpPr>
        <xdr:cNvPr id="5" name="Rectangle 4">
          <a:extLst>
            <a:ext uri="{FF2B5EF4-FFF2-40B4-BE49-F238E27FC236}">
              <a16:creationId xmlns:a16="http://schemas.microsoft.com/office/drawing/2014/main" id="{191F781C-023F-4B6B-B2F7-1363331FCC6E}"/>
            </a:ext>
          </a:extLst>
        </xdr:cNvPr>
        <xdr:cNvSpPr/>
      </xdr:nvSpPr>
      <xdr:spPr>
        <a:xfrm>
          <a:off x="18518717" y="3268133"/>
          <a:ext cx="1703916" cy="679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aseline="0"/>
            <a:t>Reset coordinates</a:t>
          </a:r>
        </a:p>
        <a:p>
          <a:pPr algn="l"/>
          <a:endParaRPr lang="en-US" sz="1800" baseline="0"/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2276</xdr:colOff>
      <xdr:row>1</xdr:row>
      <xdr:rowOff>4019</xdr:rowOff>
    </xdr:from>
    <xdr:to>
      <xdr:col>0</xdr:col>
      <xdr:colOff>643</xdr:colOff>
      <xdr:row>3</xdr:row>
      <xdr:rowOff>753</xdr:rowOff>
    </xdr:to>
    <xdr:pic>
      <xdr:nvPicPr>
        <xdr:cNvPr id="6" name="steve">
          <a:extLst>
            <a:ext uri="{FF2B5EF4-FFF2-40B4-BE49-F238E27FC236}">
              <a16:creationId xmlns:a16="http://schemas.microsoft.com/office/drawing/2014/main" id="{7E713EE2-2F08-4D01-AE06-55D8244E2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276" y="2544019"/>
          <a:ext cx="633367" cy="12667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8</xdr:col>
      <xdr:colOff>633367</xdr:colOff>
      <xdr:row>2</xdr:row>
      <xdr:rowOff>631734</xdr:rowOff>
    </xdr:to>
    <xdr:pic>
      <xdr:nvPicPr>
        <xdr:cNvPr id="2" name="steve">
          <a:extLst>
            <a:ext uri="{FF2B5EF4-FFF2-40B4-BE49-F238E27FC236}">
              <a16:creationId xmlns:a16="http://schemas.microsoft.com/office/drawing/2014/main" id="{CFBCDBA6-E636-4431-A22A-1AED3DE1A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00" y="635000"/>
          <a:ext cx="633367" cy="12667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824B-66D8-41EE-BAA3-0C64FE42BCF9}">
  <sheetPr codeName="Sheet5"/>
  <dimension ref="I5:BJ12"/>
  <sheetViews>
    <sheetView tabSelected="1" zoomScale="82" zoomScaleNormal="82" workbookViewId="0"/>
  </sheetViews>
  <sheetFormatPr defaultColWidth="2.7265625" defaultRowHeight="15" customHeight="1" x14ac:dyDescent="0.35"/>
  <sheetData>
    <row r="5" spans="9:62" ht="15" customHeight="1" x14ac:dyDescent="0.35">
      <c r="I5" s="6"/>
      <c r="J5" s="6"/>
      <c r="N5" s="6"/>
      <c r="O5" s="6"/>
      <c r="Q5" s="6"/>
      <c r="R5" s="6"/>
      <c r="T5" s="6"/>
      <c r="U5" s="6"/>
      <c r="X5" s="6"/>
      <c r="Y5" s="6"/>
      <c r="AA5" s="6"/>
      <c r="AB5" s="6"/>
      <c r="AC5" s="6"/>
      <c r="AD5" s="6"/>
      <c r="AE5" s="6"/>
      <c r="AG5" s="6"/>
      <c r="AH5" s="6"/>
      <c r="AI5" s="6"/>
      <c r="AJ5" s="6"/>
      <c r="AK5" s="6"/>
      <c r="AM5" s="6"/>
      <c r="AN5" s="6"/>
      <c r="AO5" s="6"/>
      <c r="AP5" s="6"/>
      <c r="AQ5" s="6"/>
      <c r="AS5" s="6"/>
      <c r="AT5" s="6"/>
      <c r="AU5" s="6"/>
      <c r="AV5" s="6"/>
      <c r="AW5" s="6"/>
      <c r="AY5" s="6"/>
      <c r="AZ5" s="6"/>
      <c r="BA5" s="6"/>
      <c r="BB5" s="6"/>
      <c r="BC5" s="6"/>
      <c r="BE5" s="6"/>
      <c r="BF5" s="6"/>
      <c r="BG5" s="6"/>
      <c r="BH5" s="6"/>
      <c r="BI5" s="6"/>
      <c r="BJ5" s="6"/>
    </row>
    <row r="6" spans="9:62" ht="15" customHeight="1" x14ac:dyDescent="0.35">
      <c r="I6" s="6"/>
      <c r="J6" s="6"/>
      <c r="K6" s="6"/>
      <c r="M6" s="6"/>
      <c r="N6" s="6"/>
      <c r="O6" s="6"/>
      <c r="Q6" s="6"/>
      <c r="R6" s="6"/>
      <c r="T6" s="6"/>
      <c r="U6" s="6"/>
      <c r="V6" s="6"/>
      <c r="X6" s="6"/>
      <c r="Y6" s="6"/>
      <c r="AA6" s="6"/>
      <c r="AB6" s="6"/>
      <c r="AC6" s="5"/>
      <c r="AD6" s="5"/>
      <c r="AE6" s="5"/>
      <c r="AG6" s="6"/>
      <c r="AH6" s="6"/>
      <c r="AI6" s="5"/>
      <c r="AJ6" s="5"/>
      <c r="AK6" s="5"/>
      <c r="AM6" s="6"/>
      <c r="AN6" s="6"/>
      <c r="AO6" s="5"/>
      <c r="AP6" s="6"/>
      <c r="AQ6" s="6"/>
      <c r="AS6" s="6"/>
      <c r="AT6" s="5"/>
      <c r="AU6" s="6"/>
      <c r="AV6" s="5"/>
      <c r="AW6" s="6"/>
      <c r="AY6" s="6"/>
      <c r="AZ6" s="6"/>
      <c r="BA6" s="5"/>
      <c r="BB6" s="5"/>
      <c r="BC6" s="5"/>
      <c r="BE6" s="5"/>
      <c r="BF6" s="5"/>
      <c r="BG6" s="6"/>
      <c r="BH6" s="6"/>
      <c r="BI6" s="5"/>
      <c r="BJ6" s="5"/>
    </row>
    <row r="7" spans="9:62" ht="15" customHeight="1" x14ac:dyDescent="0.35">
      <c r="I7" s="6"/>
      <c r="J7" s="6"/>
      <c r="K7" s="6"/>
      <c r="L7" s="6"/>
      <c r="M7" s="6"/>
      <c r="N7" s="6"/>
      <c r="O7" s="6"/>
      <c r="Q7" s="6"/>
      <c r="R7" s="6"/>
      <c r="T7" s="6"/>
      <c r="U7" s="6"/>
      <c r="V7" s="6"/>
      <c r="X7" s="6"/>
      <c r="Y7" s="6"/>
      <c r="AA7" s="6"/>
      <c r="AB7" s="6"/>
      <c r="AG7" s="6"/>
      <c r="AH7" s="6"/>
      <c r="AM7" s="6"/>
      <c r="AN7" s="6"/>
      <c r="AO7" s="7">
        <f ca="1">RANDBETWEEN(1,10)</f>
        <v>9</v>
      </c>
      <c r="AP7" s="6"/>
      <c r="AQ7" s="6"/>
      <c r="AS7" s="6"/>
      <c r="AT7" s="6"/>
      <c r="AU7" s="5"/>
      <c r="AV7" s="6"/>
      <c r="AW7" s="6"/>
      <c r="AY7" s="6"/>
      <c r="AZ7" s="6"/>
      <c r="BG7" s="6"/>
      <c r="BH7" s="6"/>
    </row>
    <row r="8" spans="9:62" ht="15" customHeight="1" x14ac:dyDescent="0.35">
      <c r="I8" s="6"/>
      <c r="J8" s="6"/>
      <c r="K8" s="5"/>
      <c r="L8" s="6"/>
      <c r="M8" s="5"/>
      <c r="N8" s="6"/>
      <c r="O8" s="6"/>
      <c r="Q8" s="6"/>
      <c r="R8" s="6"/>
      <c r="T8" s="6"/>
      <c r="U8" s="6"/>
      <c r="V8" s="5"/>
      <c r="W8" s="6"/>
      <c r="X8" s="6"/>
      <c r="Y8" s="6"/>
      <c r="AA8" s="6"/>
      <c r="AB8" s="6"/>
      <c r="AC8" s="6"/>
      <c r="AD8" s="6"/>
      <c r="AE8" s="6"/>
      <c r="AG8" s="6"/>
      <c r="AH8" s="6"/>
      <c r="AM8" s="6"/>
      <c r="AN8" s="6"/>
      <c r="AO8" s="6"/>
      <c r="AP8" s="6"/>
      <c r="AQ8" s="5"/>
      <c r="AS8" s="6"/>
      <c r="AT8" s="6"/>
      <c r="AU8" s="6"/>
      <c r="AV8" s="6"/>
      <c r="AW8" s="6"/>
      <c r="AY8" s="6"/>
      <c r="AZ8" s="6"/>
      <c r="BA8" s="6"/>
      <c r="BB8" s="6"/>
      <c r="BC8" s="6"/>
      <c r="BG8" s="6"/>
      <c r="BH8" s="6"/>
    </row>
    <row r="9" spans="9:62" ht="15" customHeight="1" x14ac:dyDescent="0.35">
      <c r="I9" s="6"/>
      <c r="J9" s="6"/>
      <c r="L9" s="6"/>
      <c r="N9" s="6"/>
      <c r="O9" s="6"/>
      <c r="Q9" s="6"/>
      <c r="R9" s="6"/>
      <c r="T9" s="6"/>
      <c r="U9" s="6"/>
      <c r="W9" s="6"/>
      <c r="X9" s="6"/>
      <c r="Y9" s="6"/>
      <c r="AA9" s="6"/>
      <c r="AB9" s="6"/>
      <c r="AC9" s="5"/>
      <c r="AD9" s="5"/>
      <c r="AE9" s="5"/>
      <c r="AG9" s="6"/>
      <c r="AH9" s="6"/>
      <c r="AM9" s="6"/>
      <c r="AN9" s="6"/>
      <c r="AO9" s="5"/>
      <c r="AP9" s="6"/>
      <c r="AQ9" s="6"/>
      <c r="AS9" s="6"/>
      <c r="AT9" s="6"/>
      <c r="AU9" s="6"/>
      <c r="AV9" s="6"/>
      <c r="AW9" s="6"/>
      <c r="AY9" s="6"/>
      <c r="AZ9" s="6"/>
      <c r="BA9" s="5"/>
      <c r="BB9" s="5"/>
      <c r="BC9" s="5"/>
      <c r="BG9" s="6"/>
      <c r="BH9" s="6"/>
    </row>
    <row r="10" spans="9:62" ht="15" customHeight="1" x14ac:dyDescent="0.6">
      <c r="I10" s="6"/>
      <c r="J10" s="6"/>
      <c r="L10" s="5"/>
      <c r="N10" s="6"/>
      <c r="O10" s="6"/>
      <c r="Q10" s="6"/>
      <c r="R10" s="6"/>
      <c r="T10" s="6"/>
      <c r="U10" s="6"/>
      <c r="W10" s="5"/>
      <c r="X10" s="6"/>
      <c r="Y10" s="6"/>
      <c r="AA10" s="6"/>
      <c r="AB10" s="6"/>
      <c r="AG10" s="6"/>
      <c r="AH10" s="6"/>
      <c r="AM10" s="6"/>
      <c r="AN10" s="6"/>
      <c r="AO10" s="30" t="str">
        <f ca="1">IF(AO7=1,"Now with more pivot tables!",IF(AO7=2,"Formulas, macros, and errors, oh my!",IF(AO7=3,"Still better than Bedrock!",IF(AO7=4,"Tubular!",IF(AO7=5,"Created by Nathan Boehm!",IF(AO7=6,"Inspired by Sethbling!",IF(AO7=7,"Also try Terraria!",IF(AO7=8,"Yo mama fat!",IF(AO7=9,"Quick, pretend you're working!",IF(AO7=10,"Also try Solitaire!","This message will never appear on the splash screen, isn't that weird?"))))))))))</f>
        <v>Quick, pretend you're working!</v>
      </c>
      <c r="AP10" s="6"/>
      <c r="AQ10" s="6"/>
      <c r="AS10" s="6"/>
      <c r="AT10" s="6"/>
      <c r="AU10" s="5"/>
      <c r="AV10" s="6"/>
      <c r="AW10" s="6"/>
      <c r="AY10" s="6"/>
      <c r="AZ10" s="6"/>
      <c r="BG10" s="6"/>
      <c r="BH10" s="6"/>
    </row>
    <row r="11" spans="9:62" ht="15" customHeight="1" x14ac:dyDescent="0.35">
      <c r="I11" s="6"/>
      <c r="J11" s="6"/>
      <c r="N11" s="6"/>
      <c r="O11" s="6"/>
      <c r="Q11" s="6"/>
      <c r="R11" s="6"/>
      <c r="T11" s="6"/>
      <c r="U11" s="6"/>
      <c r="X11" s="6"/>
      <c r="Y11" s="6"/>
      <c r="AA11" s="6"/>
      <c r="AB11" s="6"/>
      <c r="AC11" s="6"/>
      <c r="AD11" s="6"/>
      <c r="AE11" s="6"/>
      <c r="AG11" s="6"/>
      <c r="AH11" s="6"/>
      <c r="AI11" s="6"/>
      <c r="AJ11" s="6"/>
      <c r="AK11" s="6"/>
      <c r="AM11" s="6"/>
      <c r="AN11" s="6"/>
      <c r="AP11" s="6"/>
      <c r="AQ11" s="6"/>
      <c r="AS11" s="6"/>
      <c r="AT11" s="6"/>
      <c r="AV11" s="6"/>
      <c r="AW11" s="6"/>
      <c r="AY11" s="6"/>
      <c r="AZ11" s="6"/>
      <c r="BG11" s="6"/>
      <c r="BH11" s="6"/>
    </row>
    <row r="12" spans="9:62" ht="15" customHeight="1" x14ac:dyDescent="0.35">
      <c r="I12" s="5"/>
      <c r="J12" s="5"/>
      <c r="N12" s="5"/>
      <c r="O12" s="5"/>
      <c r="Q12" s="5"/>
      <c r="R12" s="5"/>
      <c r="T12" s="5"/>
      <c r="U12" s="5"/>
      <c r="X12" s="5"/>
      <c r="Y12" s="5"/>
      <c r="AA12" s="5"/>
      <c r="AB12" s="5"/>
      <c r="AC12" s="5"/>
      <c r="AD12" s="5"/>
      <c r="AE12" s="5"/>
      <c r="AG12" s="5"/>
      <c r="AH12" s="5"/>
      <c r="AI12" s="5"/>
      <c r="AJ12" s="5"/>
      <c r="AK12" s="5"/>
      <c r="AM12" s="5"/>
      <c r="AN12" s="5"/>
      <c r="AP12" s="5"/>
      <c r="AQ12" s="5"/>
      <c r="AS12" s="5"/>
      <c r="AT12" s="5"/>
      <c r="AV12" s="5"/>
      <c r="AW12" s="5"/>
      <c r="AY12" s="5"/>
      <c r="AZ12" s="5"/>
      <c r="BG12" s="5"/>
      <c r="BH12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539A-249A-45D8-98A9-209EEB66F978}">
  <sheetPr codeName="Sheet1"/>
  <dimension ref="A1:AL51"/>
  <sheetViews>
    <sheetView zoomScale="63" zoomScaleNormal="63" workbookViewId="0">
      <pane ySplit="1" topLeftCell="A2" activePane="bottomLeft" state="frozen"/>
      <selection pane="bottomLeft" activeCell="J1" sqref="J1"/>
    </sheetView>
  </sheetViews>
  <sheetFormatPr defaultColWidth="9.08984375" defaultRowHeight="50" customHeight="1" x14ac:dyDescent="0.35"/>
  <sheetData>
    <row r="1" spans="1:38" ht="50" customHeight="1" thickTop="1" thickBot="1" x14ac:dyDescent="0.4">
      <c r="A1" s="29"/>
      <c r="B1" s="29"/>
      <c r="C1" s="29"/>
      <c r="D1" s="29"/>
      <c r="E1" s="29"/>
      <c r="F1" s="29"/>
      <c r="G1" s="29"/>
      <c r="H1" s="29"/>
      <c r="I1" s="29"/>
      <c r="J1" s="10" t="str">
        <f>IF(Inventory!H9=0," ",Inventory!H9)</f>
        <v xml:space="preserve"> </v>
      </c>
      <c r="K1" s="9" t="str">
        <f>IF(Inventory!I9=0," ",Inventory!I9)</f>
        <v xml:space="preserve"> </v>
      </c>
      <c r="L1" s="9" t="str">
        <f>IF(Inventory!J9=0," ",Inventory!J9)</f>
        <v xml:space="preserve"> </v>
      </c>
      <c r="M1" s="9" t="str">
        <f>IF(Inventory!K9=0," ",Inventory!K9)</f>
        <v xml:space="preserve"> </v>
      </c>
      <c r="N1" s="9" t="str">
        <f>IF(Inventory!L9=0," ",Inventory!L9)</f>
        <v xml:space="preserve"> </v>
      </c>
      <c r="O1" s="9" t="str">
        <f>IF(Inventory!M9=0," ",Inventory!M9)</f>
        <v xml:space="preserve"> </v>
      </c>
      <c r="P1" s="9" t="str">
        <f>IF(Inventory!N9=0," ",Inventory!N9)</f>
        <v xml:space="preserve"> </v>
      </c>
      <c r="Q1" s="9" t="str">
        <f>IF(Inventory!O9=0," ",Inventory!O9)</f>
        <v xml:space="preserve"> </v>
      </c>
      <c r="R1" s="9" t="str">
        <f>IF(Inventory!P9=0," ",Inventory!P9)</f>
        <v xml:space="preserve"> </v>
      </c>
      <c r="S1" s="29"/>
      <c r="T1" s="29"/>
      <c r="U1" s="29"/>
      <c r="V1" s="29"/>
      <c r="W1" s="29"/>
      <c r="X1" s="29"/>
      <c r="Y1" s="29"/>
      <c r="Z1" s="29"/>
      <c r="AA1" s="29"/>
      <c r="AB1" s="29"/>
    </row>
    <row r="2" spans="1:38" ht="50" customHeight="1" thickTop="1" x14ac:dyDescent="0.35">
      <c r="A2" s="8" t="s">
        <v>0</v>
      </c>
      <c r="B2" s="8" t="s">
        <v>0</v>
      </c>
      <c r="C2" s="8" t="s">
        <v>0</v>
      </c>
      <c r="D2" s="8" t="s">
        <v>0</v>
      </c>
      <c r="E2" s="8" t="s">
        <v>0</v>
      </c>
      <c r="F2" s="8" t="s">
        <v>0</v>
      </c>
      <c r="G2" s="8" t="s">
        <v>0</v>
      </c>
      <c r="H2" s="8" t="s">
        <v>3</v>
      </c>
      <c r="I2" s="8" t="s">
        <v>0</v>
      </c>
      <c r="J2" s="11" t="s">
        <v>0</v>
      </c>
      <c r="K2" s="11" t="s">
        <v>0</v>
      </c>
      <c r="L2" s="11" t="s">
        <v>0</v>
      </c>
      <c r="M2" s="11" t="s">
        <v>0</v>
      </c>
      <c r="N2" s="11" t="s">
        <v>0</v>
      </c>
      <c r="O2" s="11" t="s">
        <v>0</v>
      </c>
      <c r="P2" s="11" t="s">
        <v>0</v>
      </c>
      <c r="Q2" s="11" t="s">
        <v>0</v>
      </c>
      <c r="R2" s="11" t="s">
        <v>0</v>
      </c>
      <c r="S2" s="8" t="s">
        <v>0</v>
      </c>
      <c r="T2" s="8" t="s">
        <v>0</v>
      </c>
      <c r="U2" s="8" t="s">
        <v>0</v>
      </c>
      <c r="V2" s="8" t="s">
        <v>0</v>
      </c>
      <c r="W2" s="8" t="s">
        <v>0</v>
      </c>
      <c r="X2" s="8" t="s">
        <v>0</v>
      </c>
      <c r="Y2" s="8" t="s">
        <v>0</v>
      </c>
      <c r="Z2" s="8" t="s">
        <v>0</v>
      </c>
      <c r="AA2" s="8" t="s">
        <v>3</v>
      </c>
      <c r="AB2" s="8" t="s">
        <v>3</v>
      </c>
    </row>
    <row r="3" spans="1:38" ht="50" customHeight="1" x14ac:dyDescent="0.35">
      <c r="A3" s="8" t="s">
        <v>0</v>
      </c>
      <c r="B3" s="8" t="s">
        <v>0</v>
      </c>
      <c r="C3" s="8" t="s">
        <v>0</v>
      </c>
      <c r="D3" s="8" t="s">
        <v>0</v>
      </c>
      <c r="E3" s="8" t="s">
        <v>0</v>
      </c>
      <c r="F3" s="8" t="s">
        <v>0</v>
      </c>
      <c r="G3" s="8" t="s">
        <v>3</v>
      </c>
      <c r="H3" s="8" t="s">
        <v>3</v>
      </c>
      <c r="I3" s="8" t="s">
        <v>3</v>
      </c>
      <c r="J3" s="8" t="s">
        <v>0</v>
      </c>
      <c r="K3" s="8" t="s">
        <v>0</v>
      </c>
      <c r="L3" s="29" t="s">
        <v>0</v>
      </c>
      <c r="M3" s="8" t="s">
        <v>0</v>
      </c>
      <c r="N3" s="8" t="s">
        <v>0</v>
      </c>
      <c r="O3" s="8" t="s">
        <v>0</v>
      </c>
      <c r="P3" s="8" t="s">
        <v>0</v>
      </c>
      <c r="Q3" s="8" t="s">
        <v>0</v>
      </c>
      <c r="R3" s="8" t="s">
        <v>0</v>
      </c>
      <c r="S3" s="8" t="s">
        <v>0</v>
      </c>
      <c r="T3" s="8" t="str">
        <f ca="1">IF(INDIRECT(ADDRESS(ROW()-1,COLUMN()))="Sky","Grass","Dirt")</f>
        <v>Grass</v>
      </c>
      <c r="U3" s="8" t="str">
        <f ca="1">IF(INDIRECT(ADDRESS(ROW()-1,COLUMN()))="Sky","Grass","Dirt")</f>
        <v>Grass</v>
      </c>
      <c r="V3" s="8" t="str">
        <f ca="1">IF(INDIRECT(ADDRESS(ROW()-1,COLUMN()))="Sky","Grass","Dirt")</f>
        <v>Grass</v>
      </c>
      <c r="W3" s="8" t="str">
        <f ca="1">IF(INDIRECT(ADDRESS(ROW()-1,COLUMN()))="Sky","Grass","Dirt")</f>
        <v>Grass</v>
      </c>
      <c r="X3" s="8" t="s">
        <v>0</v>
      </c>
      <c r="Y3" s="8" t="s">
        <v>0</v>
      </c>
      <c r="Z3" s="8" t="s">
        <v>0</v>
      </c>
      <c r="AA3" s="8" t="s">
        <v>0</v>
      </c>
      <c r="AB3" s="8" t="s">
        <v>2</v>
      </c>
      <c r="AL3" s="12"/>
    </row>
    <row r="4" spans="1:38" ht="50" customHeight="1" x14ac:dyDescent="0.35">
      <c r="A4" s="8" t="str">
        <f t="shared" ref="A4:B7" ca="1" si="0">IF(INDIRECT(ADDRESS(ROW()-1,COLUMN()))="Sky","Grass","Dirt")</f>
        <v>Grass</v>
      </c>
      <c r="B4" s="8" t="str">
        <f t="shared" ca="1" si="0"/>
        <v>Grass</v>
      </c>
      <c r="C4" s="8" t="s">
        <v>0</v>
      </c>
      <c r="D4" s="8" t="s">
        <v>0</v>
      </c>
      <c r="E4" s="8" t="s">
        <v>0</v>
      </c>
      <c r="F4" s="8" t="s">
        <v>0</v>
      </c>
      <c r="G4" s="8" t="s">
        <v>3</v>
      </c>
      <c r="H4" s="8" t="s">
        <v>3</v>
      </c>
      <c r="I4" s="8" t="s">
        <v>3</v>
      </c>
      <c r="J4" s="8" t="s">
        <v>0</v>
      </c>
      <c r="K4" s="8" t="s">
        <v>0</v>
      </c>
      <c r="L4" s="8" t="s">
        <v>0</v>
      </c>
      <c r="M4" s="8" t="s">
        <v>0</v>
      </c>
      <c r="N4" s="8" t="s">
        <v>0</v>
      </c>
      <c r="O4" s="8" t="s">
        <v>0</v>
      </c>
      <c r="P4" s="8" t="s">
        <v>0</v>
      </c>
      <c r="Q4" s="8" t="s">
        <v>0</v>
      </c>
      <c r="R4" s="8" t="s">
        <v>0</v>
      </c>
      <c r="S4" s="8" t="str">
        <f ca="1">IF(INDIRECT(ADDRESS(ROW()-1,COLUMN()))="Sky","Grass","Dirt")</f>
        <v>Grass</v>
      </c>
      <c r="T4" s="8" t="str">
        <f t="shared" ref="T3:W6" ca="1" si="1">IF(INDIRECT(ADDRESS(ROW()-1,COLUMN()))="Sky","Grass","Dirt")</f>
        <v>Dirt</v>
      </c>
      <c r="U4" s="8" t="str">
        <f t="shared" ca="1" si="1"/>
        <v>Dirt</v>
      </c>
      <c r="V4" s="8" t="str">
        <f t="shared" ca="1" si="1"/>
        <v>Dirt</v>
      </c>
      <c r="W4" s="8" t="str">
        <f t="shared" ca="1" si="1"/>
        <v>Dirt</v>
      </c>
      <c r="X4" s="8" t="str">
        <f ca="1">IF(INDIRECT(ADDRESS(ROW()-1,COLUMN()))="Sky","Grass","Dirt")</f>
        <v>Grass</v>
      </c>
      <c r="Y4" s="8" t="s">
        <v>0</v>
      </c>
      <c r="Z4" s="8" t="s">
        <v>0</v>
      </c>
      <c r="AA4" s="8" t="s">
        <v>0</v>
      </c>
      <c r="AB4" s="8" t="s">
        <v>2</v>
      </c>
    </row>
    <row r="5" spans="1:38" ht="50" customHeight="1" x14ac:dyDescent="0.35">
      <c r="A5" s="8" t="str">
        <f t="shared" ca="1" si="0"/>
        <v>Dirt</v>
      </c>
      <c r="B5" s="8" t="str">
        <f t="shared" ca="1" si="0"/>
        <v>Dirt</v>
      </c>
      <c r="C5" s="8" t="str">
        <f ca="1">IF(INDIRECT(ADDRESS(ROW()-1,COLUMN()))="Sky","Grass","Dirt")</f>
        <v>Grass</v>
      </c>
      <c r="D5" s="8" t="s">
        <v>0</v>
      </c>
      <c r="E5" s="8" t="s">
        <v>0</v>
      </c>
      <c r="F5" s="8" t="s">
        <v>0</v>
      </c>
      <c r="G5" s="8" t="s">
        <v>0</v>
      </c>
      <c r="H5" s="8" t="s">
        <v>2</v>
      </c>
      <c r="I5" s="8" t="s">
        <v>0</v>
      </c>
      <c r="J5" s="8" t="s">
        <v>0</v>
      </c>
      <c r="K5" s="8" t="s">
        <v>0</v>
      </c>
      <c r="L5" s="8" t="s">
        <v>0</v>
      </c>
      <c r="M5" s="8" t="s">
        <v>0</v>
      </c>
      <c r="N5" s="8" t="s">
        <v>0</v>
      </c>
      <c r="O5" s="8" t="s">
        <v>0</v>
      </c>
      <c r="P5" s="8" t="s">
        <v>0</v>
      </c>
      <c r="Q5" s="8" t="s">
        <v>0</v>
      </c>
      <c r="R5" s="8" t="s">
        <v>0</v>
      </c>
      <c r="S5" s="8" t="str">
        <f t="shared" ref="S4:S9" ca="1" si="2">IF(INDIRECT(ADDRESS(ROW()-1,COLUMN()))="Sky","Grass","Dirt")</f>
        <v>Dirt</v>
      </c>
      <c r="T5" s="8" t="str">
        <f t="shared" ca="1" si="1"/>
        <v>Dirt</v>
      </c>
      <c r="U5" s="8" t="str">
        <f t="shared" ca="1" si="1"/>
        <v>Dirt</v>
      </c>
      <c r="V5" s="8" t="str">
        <f t="shared" ca="1" si="1"/>
        <v>Dirt</v>
      </c>
      <c r="W5" s="8" t="str">
        <f t="shared" ca="1" si="1"/>
        <v>Dirt</v>
      </c>
      <c r="X5" s="8" t="str">
        <f ca="1">IF(INDIRECT(ADDRESS(ROW()-1,COLUMN()))="Sky","Grass","Dirt")</f>
        <v>Dirt</v>
      </c>
      <c r="Y5" s="8" t="str">
        <f t="shared" ref="Y5:AB6" ca="1" si="3">IF(INDIRECT(ADDRESS(ROW()-1,COLUMN()))="Sky","Grass","Dirt")</f>
        <v>Grass</v>
      </c>
      <c r="Z5" s="8" t="str">
        <f t="shared" ca="1" si="3"/>
        <v>Grass</v>
      </c>
      <c r="AA5" s="8" t="str">
        <f t="shared" ca="1" si="3"/>
        <v>Grass</v>
      </c>
      <c r="AB5" s="8" t="str">
        <f t="shared" ca="1" si="3"/>
        <v>Dirt</v>
      </c>
    </row>
    <row r="6" spans="1:38" ht="50" customHeight="1" x14ac:dyDescent="0.35">
      <c r="A6" s="8" t="str">
        <f t="shared" ca="1" si="0"/>
        <v>Dirt</v>
      </c>
      <c r="B6" s="8" t="str">
        <f t="shared" ca="1" si="0"/>
        <v>Dirt</v>
      </c>
      <c r="C6" s="8" t="str">
        <f ca="1">IF(INDIRECT(ADDRESS(ROW()-1,COLUMN()))="Sky","Grass","Dirt")</f>
        <v>Dirt</v>
      </c>
      <c r="D6" s="8" t="str">
        <f ca="1">IF(INDIRECT(ADDRESS(ROW()-1,COLUMN()))="Sky","Grass","Dirt")</f>
        <v>Grass</v>
      </c>
      <c r="E6" s="8" t="s">
        <v>0</v>
      </c>
      <c r="F6" s="8" t="s">
        <v>0</v>
      </c>
      <c r="G6" s="8" t="s">
        <v>0</v>
      </c>
      <c r="H6" s="8" t="s">
        <v>2</v>
      </c>
      <c r="I6" s="8" t="s">
        <v>0</v>
      </c>
      <c r="J6" s="8" t="s">
        <v>0</v>
      </c>
      <c r="K6" s="8" t="s">
        <v>0</v>
      </c>
      <c r="L6" s="8" t="s">
        <v>0</v>
      </c>
      <c r="M6" s="8" t="s">
        <v>0</v>
      </c>
      <c r="N6" s="8" t="s">
        <v>0</v>
      </c>
      <c r="O6" s="8" t="s">
        <v>0</v>
      </c>
      <c r="P6" s="8" t="s">
        <v>0</v>
      </c>
      <c r="Q6" s="8" t="s">
        <v>0</v>
      </c>
      <c r="R6" s="8" t="str">
        <f ca="1">IF(INDIRECT(ADDRESS(ROW()-1,COLUMN()))="Sky","Grass","Dirt")</f>
        <v>Grass</v>
      </c>
      <c r="S6" s="8" t="str">
        <f t="shared" ca="1" si="2"/>
        <v>Dirt</v>
      </c>
      <c r="T6" s="8" t="str">
        <f t="shared" ca="1" si="1"/>
        <v>Dirt</v>
      </c>
      <c r="U6" s="8" t="str">
        <f t="shared" ca="1" si="1"/>
        <v>Dirt</v>
      </c>
      <c r="V6" s="8" t="str">
        <f t="shared" ca="1" si="1"/>
        <v>Dirt</v>
      </c>
      <c r="W6" s="8" t="str">
        <f t="shared" ca="1" si="1"/>
        <v>Dirt</v>
      </c>
      <c r="X6" s="8" t="str">
        <f ca="1">IF(INDIRECT(ADDRESS(ROW()-1,COLUMN()))="Sky","Grass","Dirt")</f>
        <v>Dirt</v>
      </c>
      <c r="Y6" s="8" t="str">
        <f t="shared" ca="1" si="3"/>
        <v>Dirt</v>
      </c>
      <c r="Z6" s="8" t="str">
        <f t="shared" ca="1" si="3"/>
        <v>Dirt</v>
      </c>
      <c r="AA6" s="8" t="str">
        <f t="shared" ca="1" si="3"/>
        <v>Dirt</v>
      </c>
      <c r="AB6" s="8" t="str">
        <f t="shared" ca="1" si="3"/>
        <v>Dirt</v>
      </c>
    </row>
    <row r="7" spans="1:38" ht="50" customHeight="1" x14ac:dyDescent="0.35">
      <c r="A7" s="8" t="str">
        <f t="shared" ca="1" si="0"/>
        <v>Dirt</v>
      </c>
      <c r="B7" s="8" t="str">
        <f t="shared" ca="1" si="0"/>
        <v>Dirt</v>
      </c>
      <c r="C7" s="8" t="str">
        <f ca="1">IF(INDIRECT(ADDRESS(ROW()-1,COLUMN()))="Sky","Grass","Dirt")</f>
        <v>Dirt</v>
      </c>
      <c r="D7" s="8" t="str">
        <f ca="1">IF(INDIRECT(ADDRESS(ROW()-1,COLUMN()))="Sky","Grass","Dirt")</f>
        <v>Dirt</v>
      </c>
      <c r="E7" s="8" t="str">
        <f t="shared" ref="E7:Q7" ca="1" si="4">IF(INDIRECT(ADDRESS(ROW()-1,COLUMN()))="Sky","Grass","Dirt")</f>
        <v>Grass</v>
      </c>
      <c r="F7" s="8" t="str">
        <f t="shared" ca="1" si="4"/>
        <v>Grass</v>
      </c>
      <c r="G7" s="8" t="str">
        <f t="shared" ca="1" si="4"/>
        <v>Grass</v>
      </c>
      <c r="H7" s="8" t="str">
        <f t="shared" ca="1" si="4"/>
        <v>Dirt</v>
      </c>
      <c r="I7" s="8" t="str">
        <f t="shared" ca="1" si="4"/>
        <v>Grass</v>
      </c>
      <c r="J7" s="8" t="str">
        <f ca="1">IF(INDIRECT(ADDRESS(ROW()-1,COLUMN()))="Sky","Grass","Dirt")</f>
        <v>Grass</v>
      </c>
      <c r="K7" s="8" t="str">
        <f ca="1">IF(INDIRECT(ADDRESS(ROW()-1,COLUMN()))="Sky","Grass","Dirt")</f>
        <v>Grass</v>
      </c>
      <c r="L7" s="8" t="str">
        <f ca="1">IF(INDIRECT(ADDRESS(ROW()-1,COLUMN()))="Sky","Grass","Dirt")</f>
        <v>Grass</v>
      </c>
      <c r="M7" s="8" t="str">
        <f t="shared" ca="1" si="4"/>
        <v>Grass</v>
      </c>
      <c r="N7" s="8" t="str">
        <f t="shared" ca="1" si="4"/>
        <v>Grass</v>
      </c>
      <c r="O7" s="8" t="str">
        <f t="shared" ca="1" si="4"/>
        <v>Grass</v>
      </c>
      <c r="P7" s="8" t="str">
        <f t="shared" ca="1" si="4"/>
        <v>Grass</v>
      </c>
      <c r="Q7" s="8" t="str">
        <f t="shared" ca="1" si="4"/>
        <v>Grass</v>
      </c>
      <c r="R7" s="8" t="str">
        <f ca="1">IF(INDIRECT(ADDRESS(ROW()-1,COLUMN()))="Sky","Grass","Dirt")</f>
        <v>Dirt</v>
      </c>
      <c r="S7" s="8" t="str">
        <f t="shared" ca="1" si="2"/>
        <v>Dirt</v>
      </c>
      <c r="T7" s="8" t="str">
        <f ca="1">IF(INDIRECT(ADDRESS(ROW()-1,COLUMN()))="Sky","Grass","Dirt")</f>
        <v>Dirt</v>
      </c>
      <c r="U7" s="8" t="str">
        <f ca="1">IF(INDIRECT(ADDRESS(ROW()-1,COLUMN()))="Sky","Grass","Dirt")</f>
        <v>Dirt</v>
      </c>
      <c r="V7" s="8" t="str">
        <f ca="1">IF(INDIRECT(ADDRESS(ROW()-1,COLUMN()))="Sky","Grass","Dirt")</f>
        <v>Dirt</v>
      </c>
      <c r="W7" s="8" t="s">
        <v>1</v>
      </c>
      <c r="X7" s="8" t="s">
        <v>1</v>
      </c>
      <c r="Y7" s="8" t="s">
        <v>1</v>
      </c>
      <c r="Z7" s="8" t="s">
        <v>1</v>
      </c>
      <c r="AA7" s="8" t="s">
        <v>1</v>
      </c>
      <c r="AB7" s="8" t="s">
        <v>1</v>
      </c>
      <c r="AD7" t="s">
        <v>30</v>
      </c>
    </row>
    <row r="8" spans="1:38" ht="50" customHeight="1" x14ac:dyDescent="0.35">
      <c r="A8" s="8" t="s">
        <v>1</v>
      </c>
      <c r="B8" s="8" t="s">
        <v>1</v>
      </c>
      <c r="C8" s="8" t="s">
        <v>1</v>
      </c>
      <c r="D8" s="8" t="str">
        <f ca="1">IF(INDIRECT(ADDRESS(ROW()-1,COLUMN()))="Sky","Grass","Dirt")</f>
        <v>Dirt</v>
      </c>
      <c r="E8" s="8" t="str">
        <f ca="1">IF(INDIRECT(ADDRESS(ROW()-1,COLUMN()))="Sky","Grass","Dirt")</f>
        <v>Dirt</v>
      </c>
      <c r="F8" s="8" t="str">
        <f ca="1">IF(INDIRECT(ADDRESS(ROW()-1,COLUMN()))="Sky","Grass","Dirt")</f>
        <v>Dirt</v>
      </c>
      <c r="G8" s="8" t="str">
        <f ca="1">IF(INDIRECT(ADDRESS(ROW()-1,COLUMN()))="Sky","Grass","Dirt")</f>
        <v>Dirt</v>
      </c>
      <c r="H8" s="8" t="s">
        <v>1</v>
      </c>
      <c r="I8" s="8" t="s">
        <v>1</v>
      </c>
      <c r="J8" s="8" t="s">
        <v>1</v>
      </c>
      <c r="K8" s="8" t="s">
        <v>1</v>
      </c>
      <c r="L8" s="8" t="s">
        <v>1</v>
      </c>
      <c r="M8" s="8" t="s">
        <v>1</v>
      </c>
      <c r="N8" s="8" t="s">
        <v>1</v>
      </c>
      <c r="O8" s="8" t="s">
        <v>1</v>
      </c>
      <c r="P8" s="8" t="s">
        <v>1</v>
      </c>
      <c r="Q8" s="8" t="s">
        <v>1</v>
      </c>
      <c r="R8" s="8" t="s">
        <v>1</v>
      </c>
      <c r="S8" s="8" t="str">
        <f t="shared" ca="1" si="2"/>
        <v>Dirt</v>
      </c>
      <c r="T8" s="8" t="str">
        <f ca="1">IF(INDIRECT(ADDRESS(ROW()-1,COLUMN()))="Sky","Grass","Dirt")</f>
        <v>Dirt</v>
      </c>
      <c r="U8" s="8" t="s">
        <v>1</v>
      </c>
      <c r="V8" s="8" t="s">
        <v>1</v>
      </c>
      <c r="W8" s="8" t="s">
        <v>1</v>
      </c>
      <c r="X8" s="8" t="s">
        <v>1</v>
      </c>
      <c r="Y8" s="8" t="s">
        <v>1</v>
      </c>
      <c r="Z8" s="8" t="s">
        <v>1</v>
      </c>
      <c r="AA8" s="8" t="s">
        <v>1</v>
      </c>
      <c r="AB8" s="8" t="s">
        <v>1</v>
      </c>
      <c r="AC8" t="s">
        <v>31</v>
      </c>
      <c r="AD8" cm="1">
        <f t="array" aca="1" ref="AD8" ca="1">COLUMN(INDIRECT(AC8))</f>
        <v>14</v>
      </c>
    </row>
    <row r="9" spans="1:38" ht="50" customHeight="1" x14ac:dyDescent="0.35">
      <c r="A9" s="8" t="s">
        <v>1</v>
      </c>
      <c r="B9" s="8" t="s">
        <v>1</v>
      </c>
      <c r="C9" s="8" t="s">
        <v>1</v>
      </c>
      <c r="D9" s="8" t="s">
        <v>1</v>
      </c>
      <c r="E9" s="8" t="s">
        <v>1</v>
      </c>
      <c r="F9" s="8" t="s">
        <v>1</v>
      </c>
      <c r="G9" s="8" t="s">
        <v>1</v>
      </c>
      <c r="H9" s="8" t="s">
        <v>1</v>
      </c>
      <c r="I9" s="8" t="s">
        <v>1</v>
      </c>
      <c r="J9" s="8" t="s">
        <v>1</v>
      </c>
      <c r="K9" s="8" t="s">
        <v>1</v>
      </c>
      <c r="L9" s="8" t="s">
        <v>1</v>
      </c>
      <c r="M9" s="8" t="s">
        <v>1</v>
      </c>
      <c r="N9" s="8" t="s">
        <v>1</v>
      </c>
      <c r="O9" s="8" t="s">
        <v>1</v>
      </c>
      <c r="P9" s="8" t="s">
        <v>1</v>
      </c>
      <c r="Q9" s="8" t="s">
        <v>1</v>
      </c>
      <c r="R9" s="8" t="s">
        <v>1</v>
      </c>
      <c r="S9" s="8" t="str">
        <f t="shared" ca="1" si="2"/>
        <v>Dirt</v>
      </c>
      <c r="T9" s="8" t="s">
        <v>1</v>
      </c>
      <c r="U9" s="8" t="s">
        <v>1</v>
      </c>
      <c r="V9" s="8" t="s">
        <v>1</v>
      </c>
      <c r="W9" s="8" t="s">
        <v>1</v>
      </c>
      <c r="X9" s="8" t="s">
        <v>1</v>
      </c>
      <c r="Y9" s="8" t="s">
        <v>1</v>
      </c>
      <c r="Z9" s="8" t="s">
        <v>1</v>
      </c>
      <c r="AA9" s="8" t="s">
        <v>1</v>
      </c>
      <c r="AB9" s="8" t="s">
        <v>1</v>
      </c>
      <c r="AC9" s="8"/>
      <c r="AD9" cm="1">
        <f t="array" aca="1" ref="AD9" ca="1">ROW(INDIRECT(AC8))</f>
        <v>6</v>
      </c>
    </row>
    <row r="10" spans="1:38" ht="50" customHeight="1" x14ac:dyDescent="0.35">
      <c r="A10" s="8" t="s">
        <v>1</v>
      </c>
      <c r="B10" s="8" t="s">
        <v>1</v>
      </c>
      <c r="C10" s="8" t="s">
        <v>1</v>
      </c>
      <c r="D10" s="8" t="s">
        <v>1</v>
      </c>
      <c r="E10" s="8" t="s">
        <v>1</v>
      </c>
      <c r="F10" s="8" t="s">
        <v>1</v>
      </c>
      <c r="G10" s="8" t="s">
        <v>1</v>
      </c>
      <c r="H10" s="8" t="s">
        <v>1</v>
      </c>
      <c r="I10" s="8" t="s">
        <v>1</v>
      </c>
      <c r="J10" s="8" t="s">
        <v>1</v>
      </c>
      <c r="K10" s="8" t="s">
        <v>1</v>
      </c>
      <c r="L10" s="8" t="s">
        <v>1</v>
      </c>
      <c r="M10" s="8" t="s">
        <v>1</v>
      </c>
      <c r="N10" s="8" t="s">
        <v>1</v>
      </c>
      <c r="O10" s="8" t="s">
        <v>1</v>
      </c>
      <c r="P10" s="8" t="s">
        <v>1</v>
      </c>
      <c r="Q10" s="8" t="s">
        <v>1</v>
      </c>
      <c r="R10" s="8" t="s">
        <v>1</v>
      </c>
      <c r="S10" s="8" t="s">
        <v>1</v>
      </c>
      <c r="T10" s="8" t="s">
        <v>1</v>
      </c>
      <c r="U10" s="8" t="s">
        <v>1</v>
      </c>
      <c r="V10" s="8" t="s">
        <v>1</v>
      </c>
      <c r="W10" s="8" t="s">
        <v>1</v>
      </c>
      <c r="X10" s="8" t="s">
        <v>1</v>
      </c>
      <c r="Y10" s="8" t="s">
        <v>1</v>
      </c>
      <c r="Z10" s="8" t="s">
        <v>1</v>
      </c>
      <c r="AA10" s="8" t="s">
        <v>1</v>
      </c>
      <c r="AB10" s="8" t="s">
        <v>1</v>
      </c>
    </row>
    <row r="11" spans="1:38" ht="50" customHeight="1" x14ac:dyDescent="0.35">
      <c r="A11" s="8" t="s">
        <v>1</v>
      </c>
      <c r="B11" s="8" t="s">
        <v>1</v>
      </c>
      <c r="C11" s="8" t="s">
        <v>1</v>
      </c>
      <c r="D11" s="8" t="s">
        <v>1</v>
      </c>
      <c r="E11" s="8" t="s">
        <v>1</v>
      </c>
      <c r="F11" s="8" t="s">
        <v>1</v>
      </c>
      <c r="G11" s="8" t="s">
        <v>1</v>
      </c>
      <c r="H11" s="8" t="s">
        <v>1</v>
      </c>
      <c r="I11" s="8" t="s">
        <v>1</v>
      </c>
      <c r="J11" s="8" t="s">
        <v>1</v>
      </c>
      <c r="K11" s="8" t="s">
        <v>1</v>
      </c>
      <c r="L11" s="8" t="s">
        <v>1</v>
      </c>
      <c r="M11" s="8" t="s">
        <v>1</v>
      </c>
      <c r="N11" s="8" t="s">
        <v>1</v>
      </c>
      <c r="O11" s="8" t="s">
        <v>1</v>
      </c>
      <c r="P11" s="8" t="s">
        <v>1</v>
      </c>
      <c r="Q11" s="8" t="s">
        <v>1</v>
      </c>
      <c r="R11" s="8" t="s">
        <v>1</v>
      </c>
      <c r="S11" s="8" t="s">
        <v>1</v>
      </c>
      <c r="T11" s="8" t="s">
        <v>1</v>
      </c>
      <c r="U11" s="8" t="s">
        <v>1</v>
      </c>
      <c r="V11" s="8" t="s">
        <v>1</v>
      </c>
      <c r="W11" s="8" t="s">
        <v>1</v>
      </c>
      <c r="X11" s="8" t="s">
        <v>1</v>
      </c>
      <c r="Y11" s="8" t="s">
        <v>1</v>
      </c>
      <c r="Z11" s="8" t="s">
        <v>1</v>
      </c>
      <c r="AA11" s="8" t="s">
        <v>1</v>
      </c>
      <c r="AB11" s="8" t="s">
        <v>1</v>
      </c>
    </row>
    <row r="12" spans="1:38" ht="50" customHeight="1" x14ac:dyDescent="0.35">
      <c r="A12" s="8" t="s">
        <v>1</v>
      </c>
      <c r="B12" s="8" t="s">
        <v>1</v>
      </c>
      <c r="C12" s="8" t="s">
        <v>1</v>
      </c>
      <c r="D12" s="8" t="s">
        <v>1</v>
      </c>
      <c r="E12" s="8" t="s">
        <v>1</v>
      </c>
      <c r="F12" s="8" t="s">
        <v>1</v>
      </c>
      <c r="G12" s="8" t="s">
        <v>0</v>
      </c>
      <c r="H12" s="8" t="s">
        <v>0</v>
      </c>
      <c r="I12" s="8" t="s">
        <v>1</v>
      </c>
      <c r="J12" s="8" t="s">
        <v>1</v>
      </c>
      <c r="K12" s="8" t="s">
        <v>1</v>
      </c>
      <c r="L12" s="8" t="s">
        <v>1</v>
      </c>
      <c r="M12" s="8" t="s">
        <v>1</v>
      </c>
      <c r="N12" s="8" t="s">
        <v>1</v>
      </c>
      <c r="O12" s="8" t="s">
        <v>1</v>
      </c>
      <c r="P12" s="8" t="s">
        <v>1</v>
      </c>
      <c r="Q12" s="8" t="s">
        <v>1</v>
      </c>
      <c r="R12" s="8" t="s">
        <v>1</v>
      </c>
      <c r="S12" s="8" t="s">
        <v>1</v>
      </c>
      <c r="T12" s="8" t="s">
        <v>1</v>
      </c>
      <c r="U12" s="8" t="s">
        <v>1</v>
      </c>
      <c r="V12" s="8" t="s">
        <v>1</v>
      </c>
      <c r="W12" s="8" t="s">
        <v>1</v>
      </c>
      <c r="X12" s="8" t="s">
        <v>1</v>
      </c>
      <c r="Y12" s="8" t="s">
        <v>1</v>
      </c>
      <c r="Z12" s="8" t="s">
        <v>1</v>
      </c>
      <c r="AA12" s="8" t="s">
        <v>1</v>
      </c>
      <c r="AB12" s="8" t="s">
        <v>1</v>
      </c>
    </row>
    <row r="13" spans="1:38" ht="50" customHeight="1" x14ac:dyDescent="0.35">
      <c r="A13" s="8" t="s">
        <v>1</v>
      </c>
      <c r="B13" s="8" t="s">
        <v>1</v>
      </c>
      <c r="C13" s="8" t="s">
        <v>1</v>
      </c>
      <c r="D13" s="8" t="s">
        <v>1</v>
      </c>
      <c r="E13" s="8" t="s">
        <v>1</v>
      </c>
      <c r="F13" s="8" t="s">
        <v>0</v>
      </c>
      <c r="G13" s="8" t="s">
        <v>0</v>
      </c>
      <c r="H13" s="8" t="s">
        <v>0</v>
      </c>
      <c r="I13" s="8" t="s">
        <v>0</v>
      </c>
      <c r="J13" s="8" t="s">
        <v>0</v>
      </c>
      <c r="K13" s="8" t="s">
        <v>0</v>
      </c>
      <c r="L13" s="8" t="s">
        <v>0</v>
      </c>
      <c r="M13" s="8" t="s">
        <v>0</v>
      </c>
      <c r="N13" s="8" t="s">
        <v>0</v>
      </c>
      <c r="O13" s="8" t="s">
        <v>0</v>
      </c>
      <c r="P13" s="8" t="s">
        <v>18</v>
      </c>
      <c r="Q13" s="8" t="s">
        <v>18</v>
      </c>
      <c r="R13" s="8" t="s">
        <v>1</v>
      </c>
      <c r="S13" s="8" t="s">
        <v>1</v>
      </c>
      <c r="T13" s="8" t="s">
        <v>1</v>
      </c>
      <c r="U13" s="8" t="s">
        <v>1</v>
      </c>
      <c r="V13" s="8" t="s">
        <v>1</v>
      </c>
      <c r="W13" s="8" t="s">
        <v>1</v>
      </c>
      <c r="X13" s="8" t="s">
        <v>1</v>
      </c>
      <c r="Y13" s="8" t="s">
        <v>1</v>
      </c>
      <c r="Z13" s="8" t="s">
        <v>1</v>
      </c>
      <c r="AA13" s="8" t="s">
        <v>1</v>
      </c>
      <c r="AB13" s="8" t="s">
        <v>1</v>
      </c>
    </row>
    <row r="14" spans="1:38" ht="50" customHeight="1" x14ac:dyDescent="0.35">
      <c r="A14" s="8" t="s">
        <v>1</v>
      </c>
      <c r="B14" s="8" t="s">
        <v>1</v>
      </c>
      <c r="C14" s="8" t="s">
        <v>1</v>
      </c>
      <c r="D14" s="8" t="s">
        <v>1</v>
      </c>
      <c r="E14" s="8" t="s">
        <v>1</v>
      </c>
      <c r="F14" s="8" t="s">
        <v>0</v>
      </c>
      <c r="G14" s="8" t="s">
        <v>0</v>
      </c>
      <c r="H14" s="8" t="s">
        <v>0</v>
      </c>
      <c r="I14" s="8" t="s">
        <v>0</v>
      </c>
      <c r="J14" s="8" t="s">
        <v>0</v>
      </c>
      <c r="K14" s="8" t="s">
        <v>0</v>
      </c>
      <c r="L14" s="8" t="s">
        <v>0</v>
      </c>
      <c r="M14" s="8" t="s">
        <v>0</v>
      </c>
      <c r="N14" s="8" t="s">
        <v>0</v>
      </c>
      <c r="O14" s="8" t="s">
        <v>0</v>
      </c>
      <c r="P14" s="8" t="s">
        <v>0</v>
      </c>
      <c r="Q14" s="8" t="s">
        <v>18</v>
      </c>
      <c r="R14" s="8" t="s">
        <v>1</v>
      </c>
      <c r="S14" s="8" t="s">
        <v>1</v>
      </c>
      <c r="T14" s="8" t="s">
        <v>1</v>
      </c>
      <c r="U14" s="8" t="s">
        <v>1</v>
      </c>
      <c r="V14" s="8" t="s">
        <v>1</v>
      </c>
      <c r="W14" s="8" t="s">
        <v>1</v>
      </c>
      <c r="X14" s="8" t="s">
        <v>1</v>
      </c>
      <c r="Y14" s="8" t="s">
        <v>1</v>
      </c>
      <c r="Z14" s="8" t="s">
        <v>1</v>
      </c>
      <c r="AA14" s="8" t="s">
        <v>1</v>
      </c>
      <c r="AB14" s="8" t="s">
        <v>1</v>
      </c>
    </row>
    <row r="15" spans="1:38" ht="50" customHeight="1" x14ac:dyDescent="0.35">
      <c r="A15" s="8" t="s">
        <v>1</v>
      </c>
      <c r="B15" s="8" t="s">
        <v>1</v>
      </c>
      <c r="C15" s="8" t="s">
        <v>1</v>
      </c>
      <c r="D15" s="8" t="s">
        <v>1</v>
      </c>
      <c r="E15" s="8" t="s">
        <v>1</v>
      </c>
      <c r="F15" s="8" t="s">
        <v>1</v>
      </c>
      <c r="G15" s="8" t="s">
        <v>0</v>
      </c>
      <c r="H15" s="8" t="s">
        <v>0</v>
      </c>
      <c r="I15" s="8" t="s">
        <v>0</v>
      </c>
      <c r="J15" s="8" t="s">
        <v>0</v>
      </c>
      <c r="K15" s="8" t="s">
        <v>0</v>
      </c>
      <c r="L15" s="8" t="s">
        <v>0</v>
      </c>
      <c r="M15" s="8" t="s">
        <v>0</v>
      </c>
      <c r="N15" s="8" t="s">
        <v>0</v>
      </c>
      <c r="O15" s="8" t="s">
        <v>0</v>
      </c>
      <c r="P15" s="8" t="s">
        <v>0</v>
      </c>
      <c r="Q15" s="8" t="s">
        <v>0</v>
      </c>
      <c r="R15" s="8" t="s">
        <v>0</v>
      </c>
      <c r="S15" s="8" t="s">
        <v>1</v>
      </c>
      <c r="T15" s="8" t="s">
        <v>1</v>
      </c>
      <c r="U15" s="8" t="s">
        <v>1</v>
      </c>
      <c r="V15" s="8" t="s">
        <v>1</v>
      </c>
      <c r="W15" s="8" t="s">
        <v>1</v>
      </c>
      <c r="X15" s="8" t="s">
        <v>1</v>
      </c>
      <c r="Y15" s="8" t="s">
        <v>1</v>
      </c>
      <c r="Z15" s="8" t="s">
        <v>1</v>
      </c>
      <c r="AA15" s="8" t="s">
        <v>1</v>
      </c>
      <c r="AB15" s="8" t="s">
        <v>1</v>
      </c>
    </row>
    <row r="16" spans="1:38" ht="50" customHeight="1" x14ac:dyDescent="0.35">
      <c r="A16" s="8" t="s">
        <v>1</v>
      </c>
      <c r="B16" s="8" t="s">
        <v>1</v>
      </c>
      <c r="C16" s="8" t="s">
        <v>1</v>
      </c>
      <c r="D16" s="8" t="s">
        <v>1</v>
      </c>
      <c r="E16" s="8" t="s">
        <v>1</v>
      </c>
      <c r="F16" s="8" t="s">
        <v>1</v>
      </c>
      <c r="G16" s="8" t="s">
        <v>1</v>
      </c>
      <c r="H16" s="8" t="s">
        <v>1</v>
      </c>
      <c r="I16" s="8" t="s">
        <v>1</v>
      </c>
      <c r="J16" s="8" t="s">
        <v>1</v>
      </c>
      <c r="K16" s="8" t="s">
        <v>1</v>
      </c>
      <c r="L16" s="8" t="s">
        <v>1</v>
      </c>
      <c r="M16" s="8" t="s">
        <v>19</v>
      </c>
      <c r="N16" s="8" t="s">
        <v>0</v>
      </c>
      <c r="O16" s="8" t="s">
        <v>0</v>
      </c>
      <c r="P16" s="8" t="s">
        <v>0</v>
      </c>
      <c r="Q16" s="8" t="s">
        <v>0</v>
      </c>
      <c r="R16" s="8" t="s">
        <v>0</v>
      </c>
      <c r="S16" s="8" t="s">
        <v>1</v>
      </c>
      <c r="T16" s="8" t="s">
        <v>1</v>
      </c>
      <c r="U16" s="8" t="s">
        <v>1</v>
      </c>
      <c r="V16" s="8" t="s">
        <v>1</v>
      </c>
      <c r="W16" s="8" t="s">
        <v>1</v>
      </c>
      <c r="X16" s="8" t="s">
        <v>1</v>
      </c>
      <c r="Y16" s="8" t="s">
        <v>1</v>
      </c>
      <c r="Z16" s="8" t="s">
        <v>1</v>
      </c>
      <c r="AA16" s="8" t="s">
        <v>1</v>
      </c>
      <c r="AB16" s="8" t="s">
        <v>1</v>
      </c>
    </row>
    <row r="17" spans="1:28" ht="50" customHeight="1" x14ac:dyDescent="0.35">
      <c r="A17" s="8" t="s">
        <v>1</v>
      </c>
      <c r="B17" s="8" t="s">
        <v>1</v>
      </c>
      <c r="C17" s="8" t="s">
        <v>1</v>
      </c>
      <c r="D17" s="8" t="s">
        <v>1</v>
      </c>
      <c r="E17" s="8" t="s">
        <v>1</v>
      </c>
      <c r="F17" s="8" t="s">
        <v>1</v>
      </c>
      <c r="G17" s="8" t="s">
        <v>1</v>
      </c>
      <c r="H17" s="8" t="s">
        <v>1</v>
      </c>
      <c r="I17" s="8" t="s">
        <v>1</v>
      </c>
      <c r="J17" s="8" t="s">
        <v>1</v>
      </c>
      <c r="K17" s="8" t="s">
        <v>1</v>
      </c>
      <c r="L17" s="8" t="s">
        <v>1</v>
      </c>
      <c r="M17" s="8" t="s">
        <v>19</v>
      </c>
      <c r="N17" s="8" t="s">
        <v>19</v>
      </c>
      <c r="O17" s="8" t="s">
        <v>19</v>
      </c>
      <c r="P17" s="8" t="s">
        <v>1</v>
      </c>
      <c r="Q17" s="8" t="s">
        <v>0</v>
      </c>
      <c r="R17" s="8" t="s">
        <v>0</v>
      </c>
      <c r="S17" s="8" t="s">
        <v>1</v>
      </c>
      <c r="T17" s="8" t="s">
        <v>1</v>
      </c>
      <c r="U17" s="8" t="s">
        <v>1</v>
      </c>
      <c r="V17" s="8" t="s">
        <v>1</v>
      </c>
      <c r="W17" s="8" t="s">
        <v>1</v>
      </c>
      <c r="X17" s="8" t="s">
        <v>1</v>
      </c>
      <c r="Y17" s="8" t="s">
        <v>1</v>
      </c>
      <c r="Z17" s="8" t="s">
        <v>1</v>
      </c>
      <c r="AA17" s="8" t="s">
        <v>1</v>
      </c>
      <c r="AB17" s="8" t="s">
        <v>1</v>
      </c>
    </row>
    <row r="18" spans="1:28" ht="50" customHeight="1" x14ac:dyDescent="0.35">
      <c r="A18" s="8" t="s">
        <v>1</v>
      </c>
      <c r="B18" s="8" t="s">
        <v>1</v>
      </c>
      <c r="C18" s="8" t="s">
        <v>1</v>
      </c>
      <c r="D18" s="8" t="s">
        <v>1</v>
      </c>
      <c r="E18" s="8" t="s">
        <v>1</v>
      </c>
      <c r="F18" s="8" t="s">
        <v>1</v>
      </c>
      <c r="G18" s="8" t="s">
        <v>1</v>
      </c>
      <c r="H18" s="8" t="s">
        <v>1</v>
      </c>
      <c r="I18" s="8" t="s">
        <v>1</v>
      </c>
      <c r="J18" s="8" t="s">
        <v>1</v>
      </c>
      <c r="K18" s="8" t="s">
        <v>1</v>
      </c>
      <c r="L18" s="8" t="s">
        <v>1</v>
      </c>
      <c r="M18" s="8" t="s">
        <v>1</v>
      </c>
      <c r="N18" s="8" t="s">
        <v>1</v>
      </c>
      <c r="O18" s="8" t="s">
        <v>1</v>
      </c>
      <c r="P18" s="8" t="s">
        <v>1</v>
      </c>
      <c r="Q18" s="8" t="s">
        <v>1</v>
      </c>
      <c r="R18" s="8" t="s">
        <v>1</v>
      </c>
      <c r="S18" s="8" t="s">
        <v>1</v>
      </c>
      <c r="T18" s="8" t="s">
        <v>1</v>
      </c>
      <c r="U18" s="8" t="s">
        <v>1</v>
      </c>
      <c r="V18" s="8" t="s">
        <v>1</v>
      </c>
      <c r="W18" s="8" t="s">
        <v>1</v>
      </c>
      <c r="X18" s="8" t="s">
        <v>1</v>
      </c>
      <c r="Y18" s="8" t="s">
        <v>1</v>
      </c>
      <c r="Z18" s="8" t="s">
        <v>1</v>
      </c>
      <c r="AA18" s="8" t="s">
        <v>1</v>
      </c>
      <c r="AB18" s="8" t="s">
        <v>1</v>
      </c>
    </row>
    <row r="19" spans="1:28" ht="50" customHeight="1" x14ac:dyDescent="0.35">
      <c r="A19" s="8" t="s">
        <v>1</v>
      </c>
      <c r="B19" s="8" t="s">
        <v>1</v>
      </c>
      <c r="C19" s="8" t="s">
        <v>1</v>
      </c>
      <c r="D19" s="8" t="s">
        <v>1</v>
      </c>
      <c r="E19" s="8" t="s">
        <v>1</v>
      </c>
      <c r="F19" s="8" t="s">
        <v>1</v>
      </c>
      <c r="G19" s="8" t="s">
        <v>1</v>
      </c>
      <c r="H19" s="8" t="s">
        <v>1</v>
      </c>
      <c r="I19" s="8" t="s">
        <v>1</v>
      </c>
      <c r="J19" s="8" t="s">
        <v>1</v>
      </c>
      <c r="K19" s="8" t="s">
        <v>1</v>
      </c>
      <c r="L19" s="8" t="s">
        <v>1</v>
      </c>
      <c r="M19" s="8" t="s">
        <v>1</v>
      </c>
      <c r="N19" s="8" t="s">
        <v>1</v>
      </c>
      <c r="O19" s="8" t="s">
        <v>1</v>
      </c>
      <c r="P19" s="8" t="s">
        <v>1</v>
      </c>
      <c r="Q19" s="8" t="s">
        <v>1</v>
      </c>
      <c r="R19" s="8" t="s">
        <v>1</v>
      </c>
      <c r="S19" s="8" t="s">
        <v>1</v>
      </c>
      <c r="T19" s="8" t="s">
        <v>1</v>
      </c>
      <c r="U19" s="8" t="s">
        <v>1</v>
      </c>
      <c r="V19" s="8" t="s">
        <v>1</v>
      </c>
      <c r="W19" s="8" t="s">
        <v>1</v>
      </c>
      <c r="X19" s="8" t="s">
        <v>1</v>
      </c>
      <c r="Y19" s="8" t="s">
        <v>1</v>
      </c>
      <c r="Z19" s="8" t="s">
        <v>1</v>
      </c>
      <c r="AA19" s="8" t="s">
        <v>1</v>
      </c>
      <c r="AB19" s="8" t="s">
        <v>1</v>
      </c>
    </row>
    <row r="20" spans="1:28" ht="50" customHeight="1" x14ac:dyDescent="0.35">
      <c r="A20" s="8" t="s">
        <v>1</v>
      </c>
      <c r="B20" s="8" t="s">
        <v>1</v>
      </c>
      <c r="C20" s="8" t="s">
        <v>1</v>
      </c>
      <c r="D20" s="8" t="s">
        <v>1</v>
      </c>
      <c r="E20" s="8" t="s">
        <v>1</v>
      </c>
      <c r="F20" s="8" t="s">
        <v>1</v>
      </c>
      <c r="G20" s="8" t="s">
        <v>1</v>
      </c>
      <c r="H20" s="8" t="s">
        <v>1</v>
      </c>
      <c r="I20" s="8" t="s">
        <v>1</v>
      </c>
      <c r="J20" s="8" t="s">
        <v>1</v>
      </c>
      <c r="K20" s="8" t="s">
        <v>1</v>
      </c>
      <c r="L20" s="8" t="s">
        <v>1</v>
      </c>
      <c r="M20" s="8" t="s">
        <v>1</v>
      </c>
      <c r="N20" s="8" t="s">
        <v>1</v>
      </c>
      <c r="O20" s="8" t="s">
        <v>1</v>
      </c>
      <c r="P20" s="8" t="s">
        <v>1</v>
      </c>
      <c r="Q20" s="8" t="s">
        <v>1</v>
      </c>
      <c r="R20" s="8" t="s">
        <v>1</v>
      </c>
      <c r="S20" s="8" t="s">
        <v>1</v>
      </c>
      <c r="T20" s="8" t="s">
        <v>1</v>
      </c>
      <c r="U20" s="8" t="s">
        <v>1</v>
      </c>
      <c r="V20" s="8" t="s">
        <v>1</v>
      </c>
      <c r="W20" s="8" t="s">
        <v>1</v>
      </c>
      <c r="X20" s="8" t="s">
        <v>1</v>
      </c>
      <c r="Y20" s="8" t="s">
        <v>1</v>
      </c>
      <c r="Z20" s="8" t="s">
        <v>1</v>
      </c>
      <c r="AA20" s="8" t="s">
        <v>1</v>
      </c>
      <c r="AB20" s="8" t="s">
        <v>1</v>
      </c>
    </row>
    <row r="21" spans="1:28" ht="50" customHeight="1" x14ac:dyDescent="0.35">
      <c r="A21" s="8" t="s">
        <v>1</v>
      </c>
      <c r="B21" s="8" t="s">
        <v>1</v>
      </c>
      <c r="C21" s="8" t="s">
        <v>1</v>
      </c>
      <c r="D21" s="8" t="s">
        <v>1</v>
      </c>
      <c r="E21" s="8" t="s">
        <v>1</v>
      </c>
      <c r="F21" s="8" t="s">
        <v>1</v>
      </c>
      <c r="G21" s="8" t="s">
        <v>1</v>
      </c>
      <c r="H21" s="8" t="s">
        <v>1</v>
      </c>
      <c r="I21" s="8" t="s">
        <v>1</v>
      </c>
      <c r="J21" s="8" t="s">
        <v>1</v>
      </c>
      <c r="K21" s="8" t="s">
        <v>1</v>
      </c>
      <c r="L21" s="8" t="s">
        <v>1</v>
      </c>
      <c r="M21" s="8" t="s">
        <v>1</v>
      </c>
      <c r="N21" s="8" t="s">
        <v>1</v>
      </c>
      <c r="O21" s="8" t="s">
        <v>1</v>
      </c>
      <c r="P21" s="8" t="s">
        <v>1</v>
      </c>
      <c r="Q21" s="8" t="s">
        <v>1</v>
      </c>
      <c r="R21" s="8" t="s">
        <v>1</v>
      </c>
      <c r="S21" s="8" t="s">
        <v>1</v>
      </c>
      <c r="T21" s="8" t="s">
        <v>1</v>
      </c>
      <c r="U21" s="8" t="s">
        <v>1</v>
      </c>
      <c r="V21" s="8" t="s">
        <v>1</v>
      </c>
      <c r="W21" s="8" t="s">
        <v>1</v>
      </c>
      <c r="X21" s="8" t="s">
        <v>1</v>
      </c>
      <c r="Y21" s="8" t="s">
        <v>1</v>
      </c>
      <c r="Z21" s="8" t="s">
        <v>1</v>
      </c>
      <c r="AA21" s="8" t="s">
        <v>1</v>
      </c>
      <c r="AB21" s="8" t="s">
        <v>1</v>
      </c>
    </row>
    <row r="22" spans="1:28" ht="50" customHeight="1" x14ac:dyDescent="0.35">
      <c r="A22" s="8" t="s">
        <v>1</v>
      </c>
      <c r="B22" s="8" t="s">
        <v>1</v>
      </c>
      <c r="C22" s="8" t="s">
        <v>1</v>
      </c>
      <c r="D22" s="8" t="s">
        <v>1</v>
      </c>
      <c r="E22" s="8" t="s">
        <v>1</v>
      </c>
      <c r="F22" s="8" t="s">
        <v>1</v>
      </c>
      <c r="G22" s="8" t="s">
        <v>1</v>
      </c>
      <c r="H22" s="8" t="s">
        <v>1</v>
      </c>
      <c r="I22" s="8" t="s">
        <v>1</v>
      </c>
      <c r="J22" s="8" t="s">
        <v>1</v>
      </c>
      <c r="K22" s="8" t="s">
        <v>1</v>
      </c>
      <c r="L22" s="8" t="s">
        <v>1</v>
      </c>
      <c r="M22" s="8" t="s">
        <v>1</v>
      </c>
      <c r="N22" s="8" t="s">
        <v>1</v>
      </c>
      <c r="O22" s="8" t="s">
        <v>1</v>
      </c>
      <c r="P22" s="8" t="s">
        <v>1</v>
      </c>
      <c r="Q22" s="8" t="s">
        <v>1</v>
      </c>
      <c r="R22" s="8" t="s">
        <v>1</v>
      </c>
      <c r="S22" s="8" t="s">
        <v>1</v>
      </c>
      <c r="T22" s="8" t="s">
        <v>1</v>
      </c>
      <c r="U22" s="8" t="s">
        <v>1</v>
      </c>
      <c r="V22" s="8" t="s">
        <v>1</v>
      </c>
      <c r="W22" s="8" t="s">
        <v>1</v>
      </c>
      <c r="X22" s="8" t="s">
        <v>1</v>
      </c>
      <c r="Y22" s="8" t="s">
        <v>1</v>
      </c>
      <c r="Z22" s="8" t="s">
        <v>1</v>
      </c>
      <c r="AA22" s="8" t="s">
        <v>1</v>
      </c>
      <c r="AB22" s="8" t="s">
        <v>1</v>
      </c>
    </row>
    <row r="23" spans="1:28" ht="50" customHeight="1" x14ac:dyDescent="0.35">
      <c r="A23" s="8" t="s">
        <v>1</v>
      </c>
      <c r="B23" s="8" t="s">
        <v>1</v>
      </c>
      <c r="C23" s="8" t="s">
        <v>1</v>
      </c>
      <c r="D23" s="8" t="s">
        <v>1</v>
      </c>
      <c r="E23" s="8" t="s">
        <v>1</v>
      </c>
      <c r="F23" s="8" t="s">
        <v>1</v>
      </c>
      <c r="G23" s="8" t="s">
        <v>1</v>
      </c>
      <c r="H23" s="8" t="s">
        <v>1</v>
      </c>
      <c r="I23" s="8" t="s">
        <v>1</v>
      </c>
      <c r="J23" s="8" t="s">
        <v>1</v>
      </c>
      <c r="K23" s="8" t="s">
        <v>1</v>
      </c>
      <c r="L23" s="8" t="s">
        <v>1</v>
      </c>
      <c r="M23" s="8" t="s">
        <v>1</v>
      </c>
      <c r="N23" s="8" t="s">
        <v>1</v>
      </c>
      <c r="O23" s="8" t="s">
        <v>1</v>
      </c>
      <c r="P23" s="8" t="s">
        <v>1</v>
      </c>
      <c r="Q23" s="8" t="s">
        <v>1</v>
      </c>
      <c r="R23" s="8" t="s">
        <v>1</v>
      </c>
      <c r="S23" s="8" t="s">
        <v>1</v>
      </c>
      <c r="T23" s="8" t="s">
        <v>1</v>
      </c>
      <c r="U23" s="8" t="s">
        <v>1</v>
      </c>
      <c r="V23" s="8" t="s">
        <v>1</v>
      </c>
      <c r="W23" s="8" t="s">
        <v>1</v>
      </c>
      <c r="X23" s="8" t="s">
        <v>1</v>
      </c>
      <c r="Y23" s="8" t="s">
        <v>1</v>
      </c>
      <c r="Z23" s="8" t="s">
        <v>1</v>
      </c>
      <c r="AA23" s="8" t="s">
        <v>1</v>
      </c>
      <c r="AB23" s="8" t="s">
        <v>1</v>
      </c>
    </row>
    <row r="24" spans="1:28" ht="50" customHeight="1" x14ac:dyDescent="0.35">
      <c r="A24" s="8" t="s">
        <v>1</v>
      </c>
      <c r="B24" s="8" t="s">
        <v>1</v>
      </c>
      <c r="C24" s="8" t="s">
        <v>1</v>
      </c>
      <c r="D24" s="8" t="s">
        <v>1</v>
      </c>
      <c r="E24" s="8" t="s">
        <v>1</v>
      </c>
      <c r="F24" s="8" t="s">
        <v>1</v>
      </c>
      <c r="G24" s="8" t="s">
        <v>1</v>
      </c>
      <c r="H24" s="8" t="s">
        <v>1</v>
      </c>
      <c r="I24" s="8" t="s">
        <v>1</v>
      </c>
      <c r="J24" s="8" t="s">
        <v>1</v>
      </c>
      <c r="K24" s="8" t="s">
        <v>1</v>
      </c>
      <c r="L24" s="8" t="s">
        <v>1</v>
      </c>
      <c r="M24" s="8" t="s">
        <v>1</v>
      </c>
      <c r="N24" s="8" t="s">
        <v>1</v>
      </c>
      <c r="O24" s="8" t="s">
        <v>1</v>
      </c>
      <c r="P24" s="8" t="s">
        <v>1</v>
      </c>
      <c r="Q24" s="8" t="s">
        <v>1</v>
      </c>
      <c r="R24" s="8" t="s">
        <v>1</v>
      </c>
      <c r="S24" s="8" t="s">
        <v>1</v>
      </c>
      <c r="T24" s="8" t="s">
        <v>1</v>
      </c>
      <c r="U24" s="8" t="s">
        <v>1</v>
      </c>
      <c r="V24" s="8" t="s">
        <v>1</v>
      </c>
      <c r="W24" s="8" t="s">
        <v>1</v>
      </c>
      <c r="X24" s="8" t="s">
        <v>1</v>
      </c>
      <c r="Y24" s="8" t="s">
        <v>1</v>
      </c>
      <c r="Z24" s="8" t="s">
        <v>1</v>
      </c>
      <c r="AA24" s="8" t="s">
        <v>1</v>
      </c>
      <c r="AB24" s="8" t="s">
        <v>1</v>
      </c>
    </row>
    <row r="25" spans="1:28" ht="50" customHeight="1" x14ac:dyDescent="0.35">
      <c r="A25" s="8" t="s">
        <v>1</v>
      </c>
      <c r="B25" s="8" t="s">
        <v>1</v>
      </c>
      <c r="C25" s="8" t="s">
        <v>1</v>
      </c>
      <c r="D25" s="8" t="s">
        <v>1</v>
      </c>
      <c r="E25" s="8" t="s">
        <v>1</v>
      </c>
      <c r="F25" s="8" t="s">
        <v>1</v>
      </c>
      <c r="G25" s="8" t="s">
        <v>1</v>
      </c>
      <c r="H25" s="8" t="s">
        <v>1</v>
      </c>
      <c r="I25" s="8" t="s">
        <v>1</v>
      </c>
      <c r="J25" s="8" t="s">
        <v>1</v>
      </c>
      <c r="K25" s="8" t="s">
        <v>1</v>
      </c>
      <c r="L25" s="8" t="s">
        <v>1</v>
      </c>
      <c r="M25" s="8" t="s">
        <v>1</v>
      </c>
      <c r="N25" s="8" t="s">
        <v>1</v>
      </c>
      <c r="O25" s="8" t="s">
        <v>1</v>
      </c>
      <c r="P25" s="8" t="s">
        <v>1</v>
      </c>
      <c r="Q25" s="8" t="s">
        <v>1</v>
      </c>
      <c r="R25" s="8" t="s">
        <v>1</v>
      </c>
      <c r="S25" s="8" t="s">
        <v>1</v>
      </c>
      <c r="T25" s="8" t="s">
        <v>1</v>
      </c>
      <c r="U25" s="8" t="s">
        <v>1</v>
      </c>
      <c r="V25" s="8" t="s">
        <v>1</v>
      </c>
      <c r="W25" s="8" t="s">
        <v>1</v>
      </c>
      <c r="X25" s="8" t="s">
        <v>1</v>
      </c>
      <c r="Y25" s="8" t="s">
        <v>1</v>
      </c>
      <c r="Z25" s="8" t="s">
        <v>1</v>
      </c>
      <c r="AA25" s="8" t="s">
        <v>1</v>
      </c>
      <c r="AB25" s="8" t="s">
        <v>1</v>
      </c>
    </row>
    <row r="26" spans="1:28" ht="50" customHeight="1" x14ac:dyDescent="0.35">
      <c r="A26" s="8" t="s">
        <v>1</v>
      </c>
      <c r="B26" s="8" t="s">
        <v>1</v>
      </c>
      <c r="C26" s="8" t="s">
        <v>1</v>
      </c>
      <c r="D26" s="8" t="s">
        <v>1</v>
      </c>
      <c r="E26" s="8" t="s">
        <v>1</v>
      </c>
      <c r="F26" s="8" t="s">
        <v>1</v>
      </c>
      <c r="G26" s="8" t="s">
        <v>1</v>
      </c>
      <c r="H26" s="8" t="s">
        <v>1</v>
      </c>
      <c r="I26" s="8" t="s">
        <v>1</v>
      </c>
      <c r="J26" s="8" t="s">
        <v>1</v>
      </c>
      <c r="K26" s="8" t="s">
        <v>1</v>
      </c>
      <c r="L26" s="8" t="s">
        <v>1</v>
      </c>
      <c r="M26" s="8" t="s">
        <v>1</v>
      </c>
      <c r="N26" s="8" t="s">
        <v>1</v>
      </c>
      <c r="O26" s="8" t="s">
        <v>1</v>
      </c>
      <c r="P26" s="8" t="s">
        <v>1</v>
      </c>
      <c r="Q26" s="8" t="s">
        <v>1</v>
      </c>
      <c r="R26" s="8" t="s">
        <v>1</v>
      </c>
      <c r="S26" s="8" t="s">
        <v>1</v>
      </c>
      <c r="T26" s="8" t="s">
        <v>1</v>
      </c>
      <c r="U26" s="8" t="s">
        <v>1</v>
      </c>
      <c r="V26" s="8" t="s">
        <v>1</v>
      </c>
      <c r="W26" s="8" t="s">
        <v>1</v>
      </c>
      <c r="X26" s="8" t="s">
        <v>1</v>
      </c>
      <c r="Y26" s="8" t="s">
        <v>1</v>
      </c>
      <c r="Z26" s="8" t="s">
        <v>1</v>
      </c>
      <c r="AA26" s="8" t="s">
        <v>1</v>
      </c>
      <c r="AB26" s="8" t="s">
        <v>1</v>
      </c>
    </row>
    <row r="27" spans="1:28" ht="50" customHeight="1" x14ac:dyDescent="0.35">
      <c r="A27" s="8" t="s">
        <v>1</v>
      </c>
      <c r="B27" s="8" t="s">
        <v>1</v>
      </c>
      <c r="C27" s="8" t="s">
        <v>1</v>
      </c>
      <c r="D27" s="8" t="s">
        <v>1</v>
      </c>
      <c r="E27" s="8" t="s">
        <v>1</v>
      </c>
      <c r="F27" s="8" t="s">
        <v>1</v>
      </c>
      <c r="G27" s="8" t="s">
        <v>1</v>
      </c>
      <c r="H27" s="8" t="s">
        <v>1</v>
      </c>
      <c r="I27" s="8" t="s">
        <v>1</v>
      </c>
      <c r="J27" s="8" t="s">
        <v>1</v>
      </c>
      <c r="K27" s="8" t="s">
        <v>1</v>
      </c>
      <c r="L27" s="8" t="s">
        <v>1</v>
      </c>
      <c r="M27" s="8" t="s">
        <v>1</v>
      </c>
      <c r="N27" s="8" t="s">
        <v>1</v>
      </c>
      <c r="O27" s="8" t="s">
        <v>1</v>
      </c>
      <c r="P27" s="8" t="s">
        <v>1</v>
      </c>
      <c r="Q27" s="8" t="s">
        <v>1</v>
      </c>
      <c r="R27" s="8" t="s">
        <v>1</v>
      </c>
      <c r="S27" s="8" t="s">
        <v>1</v>
      </c>
      <c r="T27" s="8" t="s">
        <v>1</v>
      </c>
      <c r="U27" s="8" t="s">
        <v>1</v>
      </c>
      <c r="V27" s="8" t="s">
        <v>1</v>
      </c>
      <c r="W27" s="8" t="s">
        <v>1</v>
      </c>
      <c r="X27" s="8" t="s">
        <v>1</v>
      </c>
      <c r="Y27" s="8" t="s">
        <v>1</v>
      </c>
      <c r="Z27" s="8" t="s">
        <v>1</v>
      </c>
      <c r="AA27" s="8" t="s">
        <v>1</v>
      </c>
      <c r="AB27" s="8" t="s">
        <v>1</v>
      </c>
    </row>
    <row r="28" spans="1:28" ht="50" customHeight="1" x14ac:dyDescent="0.35">
      <c r="A28" s="8" t="s">
        <v>1</v>
      </c>
      <c r="B28" s="8" t="s">
        <v>1</v>
      </c>
      <c r="C28" s="8" t="s">
        <v>1</v>
      </c>
      <c r="D28" s="8" t="s">
        <v>1</v>
      </c>
      <c r="E28" s="8" t="s">
        <v>1</v>
      </c>
      <c r="F28" s="8" t="s">
        <v>1</v>
      </c>
      <c r="G28" s="8" t="s">
        <v>1</v>
      </c>
      <c r="H28" s="8" t="s">
        <v>1</v>
      </c>
      <c r="I28" s="8" t="s">
        <v>1</v>
      </c>
      <c r="J28" s="8" t="s">
        <v>1</v>
      </c>
      <c r="K28" s="8" t="s">
        <v>1</v>
      </c>
      <c r="L28" s="8" t="s">
        <v>1</v>
      </c>
      <c r="M28" s="8" t="s">
        <v>1</v>
      </c>
      <c r="N28" s="8" t="s">
        <v>1</v>
      </c>
      <c r="O28" s="8" t="s">
        <v>1</v>
      </c>
      <c r="P28" s="8" t="s">
        <v>1</v>
      </c>
      <c r="Q28" s="8" t="s">
        <v>1</v>
      </c>
      <c r="R28" s="8" t="s">
        <v>1</v>
      </c>
      <c r="S28" s="8" t="s">
        <v>1</v>
      </c>
      <c r="T28" s="8" t="s">
        <v>1</v>
      </c>
      <c r="U28" s="8" t="s">
        <v>1</v>
      </c>
      <c r="V28" s="8" t="s">
        <v>1</v>
      </c>
      <c r="W28" s="8" t="s">
        <v>1</v>
      </c>
      <c r="X28" s="8" t="s">
        <v>1</v>
      </c>
      <c r="Y28" s="8" t="s">
        <v>1</v>
      </c>
      <c r="Z28" s="8" t="s">
        <v>1</v>
      </c>
      <c r="AA28" s="8" t="s">
        <v>1</v>
      </c>
      <c r="AB28" s="8" t="s">
        <v>1</v>
      </c>
    </row>
    <row r="29" spans="1:28" ht="50" customHeight="1" x14ac:dyDescent="0.35">
      <c r="A29" s="8" t="s">
        <v>1</v>
      </c>
      <c r="B29" s="8" t="s">
        <v>1</v>
      </c>
      <c r="C29" s="8" t="s">
        <v>1</v>
      </c>
      <c r="D29" s="8" t="s">
        <v>1</v>
      </c>
      <c r="E29" s="8" t="s">
        <v>1</v>
      </c>
      <c r="F29" s="8" t="s">
        <v>1</v>
      </c>
      <c r="G29" s="8" t="s">
        <v>1</v>
      </c>
      <c r="H29" s="8" t="s">
        <v>1</v>
      </c>
      <c r="I29" s="8" t="s">
        <v>1</v>
      </c>
      <c r="J29" s="8" t="s">
        <v>1</v>
      </c>
      <c r="K29" s="8" t="s">
        <v>1</v>
      </c>
      <c r="L29" s="8" t="s">
        <v>1</v>
      </c>
      <c r="M29" s="8" t="s">
        <v>1</v>
      </c>
      <c r="N29" s="8" t="s">
        <v>1</v>
      </c>
      <c r="O29" s="8" t="s">
        <v>1</v>
      </c>
      <c r="P29" s="8" t="s">
        <v>1</v>
      </c>
      <c r="Q29" s="8" t="s">
        <v>1</v>
      </c>
      <c r="R29" s="8" t="s">
        <v>1</v>
      </c>
      <c r="S29" s="8" t="s">
        <v>1</v>
      </c>
      <c r="T29" s="8" t="s">
        <v>1</v>
      </c>
      <c r="U29" s="8" t="s">
        <v>1</v>
      </c>
      <c r="V29" s="8" t="s">
        <v>1</v>
      </c>
      <c r="W29" s="8" t="s">
        <v>1</v>
      </c>
      <c r="X29" s="8" t="s">
        <v>1</v>
      </c>
      <c r="Y29" s="8" t="s">
        <v>1</v>
      </c>
      <c r="Z29" s="8" t="s">
        <v>1</v>
      </c>
      <c r="AA29" s="8" t="s">
        <v>1</v>
      </c>
      <c r="AB29" s="8" t="s">
        <v>1</v>
      </c>
    </row>
    <row r="30" spans="1:28" ht="50" customHeight="1" x14ac:dyDescent="0.35">
      <c r="A30" s="8" t="s">
        <v>1</v>
      </c>
      <c r="B30" s="8" t="s">
        <v>1</v>
      </c>
      <c r="C30" s="8" t="s">
        <v>1</v>
      </c>
      <c r="D30" s="8" t="s">
        <v>1</v>
      </c>
      <c r="E30" s="8" t="s">
        <v>1</v>
      </c>
      <c r="F30" s="8" t="s">
        <v>1</v>
      </c>
      <c r="G30" s="8" t="s">
        <v>1</v>
      </c>
      <c r="H30" s="8" t="s">
        <v>1</v>
      </c>
      <c r="I30" s="8" t="s">
        <v>1</v>
      </c>
      <c r="J30" s="8" t="s">
        <v>1</v>
      </c>
      <c r="K30" s="8" t="s">
        <v>1</v>
      </c>
      <c r="L30" s="8" t="s">
        <v>1</v>
      </c>
      <c r="M30" s="8" t="s">
        <v>1</v>
      </c>
      <c r="N30" s="8" t="s">
        <v>1</v>
      </c>
      <c r="O30" s="8" t="s">
        <v>1</v>
      </c>
      <c r="P30" s="8" t="s">
        <v>1</v>
      </c>
      <c r="Q30" s="8" t="s">
        <v>1</v>
      </c>
      <c r="R30" s="8" t="s">
        <v>1</v>
      </c>
      <c r="S30" s="8" t="s">
        <v>1</v>
      </c>
      <c r="T30" s="8" t="s">
        <v>1</v>
      </c>
      <c r="U30" s="8" t="s">
        <v>1</v>
      </c>
      <c r="V30" s="8" t="s">
        <v>1</v>
      </c>
      <c r="W30" s="8" t="s">
        <v>1</v>
      </c>
      <c r="X30" s="8" t="s">
        <v>1</v>
      </c>
      <c r="Y30" s="8" t="s">
        <v>1</v>
      </c>
      <c r="Z30" s="8" t="s">
        <v>1</v>
      </c>
      <c r="AA30" s="8" t="s">
        <v>1</v>
      </c>
      <c r="AB30" s="8" t="s">
        <v>1</v>
      </c>
    </row>
    <row r="31" spans="1:28" ht="50" customHeight="1" x14ac:dyDescent="0.35">
      <c r="A31" s="8" t="s">
        <v>1</v>
      </c>
      <c r="B31" s="8" t="s">
        <v>1</v>
      </c>
      <c r="C31" s="8" t="s">
        <v>1</v>
      </c>
      <c r="D31" s="8" t="s">
        <v>1</v>
      </c>
      <c r="E31" s="8" t="s">
        <v>1</v>
      </c>
      <c r="F31" s="8" t="s">
        <v>1</v>
      </c>
      <c r="G31" s="8" t="s">
        <v>1</v>
      </c>
      <c r="H31" s="8" t="s">
        <v>1</v>
      </c>
      <c r="I31" s="8" t="s">
        <v>1</v>
      </c>
      <c r="J31" s="8" t="s">
        <v>1</v>
      </c>
      <c r="K31" s="8" t="s">
        <v>1</v>
      </c>
      <c r="L31" s="8" t="s">
        <v>1</v>
      </c>
      <c r="M31" s="8" t="s">
        <v>1</v>
      </c>
      <c r="N31" s="8" t="s">
        <v>1</v>
      </c>
      <c r="O31" s="8" t="s">
        <v>1</v>
      </c>
      <c r="P31" s="8" t="s">
        <v>1</v>
      </c>
      <c r="Q31" s="8" t="s">
        <v>1</v>
      </c>
      <c r="R31" s="8" t="s">
        <v>1</v>
      </c>
      <c r="S31" s="8" t="s">
        <v>1</v>
      </c>
      <c r="T31" s="8" t="s">
        <v>1</v>
      </c>
      <c r="U31" s="8" t="s">
        <v>1</v>
      </c>
      <c r="V31" s="8" t="s">
        <v>1</v>
      </c>
      <c r="W31" s="8" t="s">
        <v>1</v>
      </c>
      <c r="X31" s="8" t="s">
        <v>1</v>
      </c>
      <c r="Y31" s="8" t="s">
        <v>1</v>
      </c>
      <c r="Z31" s="8" t="s">
        <v>1</v>
      </c>
      <c r="AA31" s="8" t="s">
        <v>1</v>
      </c>
      <c r="AB31" s="8" t="s">
        <v>1</v>
      </c>
    </row>
    <row r="32" spans="1:28" ht="50" customHeight="1" x14ac:dyDescent="0.35">
      <c r="A32" s="8" t="s">
        <v>1</v>
      </c>
      <c r="B32" s="8" t="s">
        <v>1</v>
      </c>
      <c r="C32" s="8" t="s">
        <v>1</v>
      </c>
      <c r="D32" s="8" t="s">
        <v>1</v>
      </c>
      <c r="E32" s="8" t="s">
        <v>1</v>
      </c>
      <c r="F32" s="8" t="s">
        <v>1</v>
      </c>
      <c r="G32" s="8" t="s">
        <v>1</v>
      </c>
      <c r="H32" s="8" t="s">
        <v>1</v>
      </c>
      <c r="I32" s="8" t="s">
        <v>1</v>
      </c>
      <c r="J32" s="8" t="s">
        <v>1</v>
      </c>
      <c r="K32" s="8" t="s">
        <v>1</v>
      </c>
      <c r="L32" s="8" t="s">
        <v>1</v>
      </c>
      <c r="M32" s="8" t="s">
        <v>1</v>
      </c>
      <c r="N32" s="8" t="s">
        <v>1</v>
      </c>
      <c r="O32" s="8" t="s">
        <v>1</v>
      </c>
      <c r="P32" s="8" t="s">
        <v>1</v>
      </c>
      <c r="Q32" s="8" t="s">
        <v>1</v>
      </c>
      <c r="R32" s="8" t="s">
        <v>1</v>
      </c>
      <c r="S32" s="8" t="s">
        <v>1</v>
      </c>
      <c r="T32" s="8" t="s">
        <v>1</v>
      </c>
      <c r="U32" s="8" t="s">
        <v>1</v>
      </c>
      <c r="V32" s="8" t="s">
        <v>1</v>
      </c>
      <c r="W32" s="8" t="s">
        <v>1</v>
      </c>
      <c r="X32" s="8" t="s">
        <v>1</v>
      </c>
      <c r="Y32" s="8" t="s">
        <v>1</v>
      </c>
      <c r="Z32" s="8" t="s">
        <v>1</v>
      </c>
      <c r="AA32" s="8" t="s">
        <v>1</v>
      </c>
      <c r="AB32" s="8" t="s">
        <v>1</v>
      </c>
    </row>
    <row r="33" spans="1:28" ht="50" customHeight="1" x14ac:dyDescent="0.35">
      <c r="A33" s="8" t="s">
        <v>1</v>
      </c>
      <c r="B33" s="8" t="s">
        <v>1</v>
      </c>
      <c r="C33" s="8" t="s">
        <v>1</v>
      </c>
      <c r="D33" s="8" t="s">
        <v>1</v>
      </c>
      <c r="E33" s="8" t="s">
        <v>1</v>
      </c>
      <c r="F33" s="8" t="s">
        <v>1</v>
      </c>
      <c r="G33" s="8" t="s">
        <v>1</v>
      </c>
      <c r="H33" s="8" t="s">
        <v>1</v>
      </c>
      <c r="I33" s="8" t="s">
        <v>1</v>
      </c>
      <c r="J33" s="8" t="s">
        <v>1</v>
      </c>
      <c r="K33" s="8" t="s">
        <v>1</v>
      </c>
      <c r="L33" s="8" t="s">
        <v>1</v>
      </c>
      <c r="M33" s="8" t="s">
        <v>1</v>
      </c>
      <c r="N33" s="8" t="s">
        <v>1</v>
      </c>
      <c r="O33" s="8" t="s">
        <v>1</v>
      </c>
      <c r="P33" s="8" t="s">
        <v>1</v>
      </c>
      <c r="Q33" s="8" t="s">
        <v>1</v>
      </c>
      <c r="R33" s="8" t="s">
        <v>1</v>
      </c>
      <c r="S33" s="8" t="s">
        <v>1</v>
      </c>
      <c r="T33" s="8" t="s">
        <v>1</v>
      </c>
      <c r="U33" s="8" t="s">
        <v>1</v>
      </c>
      <c r="V33" s="8" t="s">
        <v>1</v>
      </c>
      <c r="W33" s="8" t="s">
        <v>1</v>
      </c>
      <c r="X33" s="8" t="s">
        <v>1</v>
      </c>
      <c r="Y33" s="8" t="s">
        <v>1</v>
      </c>
      <c r="Z33" s="8" t="s">
        <v>1</v>
      </c>
      <c r="AA33" s="8" t="s">
        <v>1</v>
      </c>
      <c r="AB33" s="8" t="s">
        <v>1</v>
      </c>
    </row>
    <row r="34" spans="1:28" ht="50" customHeight="1" x14ac:dyDescent="0.35">
      <c r="A34" s="8" t="s">
        <v>1</v>
      </c>
      <c r="B34" s="8" t="s">
        <v>1</v>
      </c>
      <c r="C34" s="8" t="s">
        <v>1</v>
      </c>
      <c r="D34" s="8" t="s">
        <v>1</v>
      </c>
      <c r="E34" s="8" t="s">
        <v>1</v>
      </c>
      <c r="F34" s="8" t="s">
        <v>1</v>
      </c>
      <c r="G34" s="8" t="s">
        <v>1</v>
      </c>
      <c r="H34" s="8" t="s">
        <v>1</v>
      </c>
      <c r="I34" s="8" t="s">
        <v>1</v>
      </c>
      <c r="J34" s="8" t="s">
        <v>1</v>
      </c>
      <c r="K34" s="8" t="s">
        <v>1</v>
      </c>
      <c r="L34" s="8" t="s">
        <v>1</v>
      </c>
      <c r="M34" s="8" t="s">
        <v>1</v>
      </c>
      <c r="N34" s="8" t="s">
        <v>1</v>
      </c>
      <c r="O34" s="8" t="s">
        <v>1</v>
      </c>
      <c r="P34" s="8" t="s">
        <v>1</v>
      </c>
      <c r="Q34" s="8" t="s">
        <v>1</v>
      </c>
      <c r="R34" s="8" t="s">
        <v>1</v>
      </c>
      <c r="S34" s="8" t="s">
        <v>1</v>
      </c>
      <c r="T34" s="8" t="s">
        <v>1</v>
      </c>
      <c r="U34" s="8" t="s">
        <v>1</v>
      </c>
      <c r="V34" s="8" t="s">
        <v>1</v>
      </c>
      <c r="W34" s="8" t="s">
        <v>1</v>
      </c>
      <c r="X34" s="8" t="s">
        <v>1</v>
      </c>
      <c r="Y34" s="8" t="s">
        <v>1</v>
      </c>
      <c r="Z34" s="8" t="s">
        <v>1</v>
      </c>
      <c r="AA34" s="8" t="s">
        <v>1</v>
      </c>
      <c r="AB34" s="8" t="s">
        <v>1</v>
      </c>
    </row>
    <row r="35" spans="1:28" ht="50" customHeight="1" x14ac:dyDescent="0.35">
      <c r="A35" s="8" t="s">
        <v>1</v>
      </c>
      <c r="B35" s="8" t="s">
        <v>1</v>
      </c>
      <c r="C35" s="8" t="s">
        <v>1</v>
      </c>
      <c r="D35" s="8" t="s">
        <v>1</v>
      </c>
      <c r="E35" s="8" t="s">
        <v>1</v>
      </c>
      <c r="F35" s="8" t="s">
        <v>1</v>
      </c>
      <c r="G35" s="8" t="s">
        <v>1</v>
      </c>
      <c r="H35" s="8" t="s">
        <v>1</v>
      </c>
      <c r="I35" s="8" t="s">
        <v>1</v>
      </c>
      <c r="J35" s="8" t="s">
        <v>1</v>
      </c>
      <c r="K35" s="8" t="s">
        <v>1</v>
      </c>
      <c r="L35" s="8" t="s">
        <v>1</v>
      </c>
      <c r="M35" s="8" t="s">
        <v>1</v>
      </c>
      <c r="N35" s="8" t="s">
        <v>1</v>
      </c>
      <c r="O35" s="8" t="s">
        <v>1</v>
      </c>
      <c r="P35" s="8" t="s">
        <v>1</v>
      </c>
      <c r="Q35" s="8" t="s">
        <v>1</v>
      </c>
      <c r="R35" s="8" t="s">
        <v>1</v>
      </c>
      <c r="S35" s="8" t="s">
        <v>1</v>
      </c>
      <c r="T35" s="8" t="s">
        <v>1</v>
      </c>
      <c r="U35" s="8" t="s">
        <v>1</v>
      </c>
      <c r="V35" s="8" t="s">
        <v>1</v>
      </c>
      <c r="W35" s="8" t="s">
        <v>1</v>
      </c>
      <c r="X35" s="8" t="s">
        <v>1</v>
      </c>
      <c r="Y35" s="8" t="s">
        <v>1</v>
      </c>
      <c r="Z35" s="8" t="s">
        <v>1</v>
      </c>
      <c r="AA35" s="8" t="s">
        <v>1</v>
      </c>
      <c r="AB35" s="8" t="s">
        <v>1</v>
      </c>
    </row>
    <row r="36" spans="1:28" ht="50" customHeight="1" x14ac:dyDescent="0.35">
      <c r="A36" s="8" t="s">
        <v>1</v>
      </c>
      <c r="B36" s="8" t="s">
        <v>1</v>
      </c>
      <c r="C36" s="8" t="s">
        <v>1</v>
      </c>
      <c r="D36" s="8" t="s">
        <v>1</v>
      </c>
      <c r="E36" s="8" t="s">
        <v>1</v>
      </c>
      <c r="F36" s="8" t="s">
        <v>1</v>
      </c>
      <c r="G36" s="8" t="s">
        <v>1</v>
      </c>
      <c r="H36" s="8" t="s">
        <v>1</v>
      </c>
      <c r="I36" s="8" t="s">
        <v>1</v>
      </c>
      <c r="J36" s="8" t="s">
        <v>1</v>
      </c>
      <c r="K36" s="8" t="s">
        <v>1</v>
      </c>
      <c r="L36" s="8" t="s">
        <v>1</v>
      </c>
      <c r="M36" s="8" t="s">
        <v>1</v>
      </c>
      <c r="N36" s="8" t="s">
        <v>1</v>
      </c>
      <c r="O36" s="8" t="s">
        <v>1</v>
      </c>
      <c r="P36" s="8" t="s">
        <v>1</v>
      </c>
      <c r="Q36" s="8" t="s">
        <v>1</v>
      </c>
      <c r="R36" s="8" t="s">
        <v>1</v>
      </c>
      <c r="S36" s="8" t="s">
        <v>1</v>
      </c>
      <c r="T36" s="8" t="s">
        <v>1</v>
      </c>
      <c r="U36" s="8" t="s">
        <v>1</v>
      </c>
      <c r="V36" s="8" t="s">
        <v>1</v>
      </c>
      <c r="W36" s="8" t="s">
        <v>1</v>
      </c>
      <c r="X36" s="8" t="s">
        <v>1</v>
      </c>
      <c r="Y36" s="8" t="s">
        <v>1</v>
      </c>
      <c r="Z36" s="8" t="s">
        <v>1</v>
      </c>
      <c r="AA36" s="8" t="s">
        <v>1</v>
      </c>
      <c r="AB36" s="8" t="s">
        <v>1</v>
      </c>
    </row>
    <row r="37" spans="1:28" ht="50" customHeight="1" x14ac:dyDescent="0.35">
      <c r="A37" s="8" t="s">
        <v>1</v>
      </c>
      <c r="B37" s="8" t="s">
        <v>1</v>
      </c>
      <c r="C37" s="8" t="s">
        <v>1</v>
      </c>
      <c r="D37" s="8" t="s">
        <v>1</v>
      </c>
      <c r="E37" s="8" t="s">
        <v>1</v>
      </c>
      <c r="F37" s="8" t="s">
        <v>1</v>
      </c>
      <c r="G37" s="8" t="s">
        <v>1</v>
      </c>
      <c r="H37" s="8" t="s">
        <v>1</v>
      </c>
      <c r="I37" s="8" t="s">
        <v>1</v>
      </c>
      <c r="J37" s="8" t="s">
        <v>1</v>
      </c>
      <c r="K37" s="8" t="s">
        <v>1</v>
      </c>
      <c r="L37" s="8" t="s">
        <v>1</v>
      </c>
      <c r="M37" s="8" t="s">
        <v>1</v>
      </c>
      <c r="N37" s="8" t="s">
        <v>1</v>
      </c>
      <c r="O37" s="8" t="s">
        <v>1</v>
      </c>
      <c r="P37" s="8" t="s">
        <v>1</v>
      </c>
      <c r="Q37" s="8" t="s">
        <v>1</v>
      </c>
      <c r="R37" s="8" t="s">
        <v>1</v>
      </c>
      <c r="S37" s="8" t="s">
        <v>1</v>
      </c>
      <c r="T37" s="8" t="s">
        <v>1</v>
      </c>
      <c r="U37" s="8" t="s">
        <v>1</v>
      </c>
      <c r="V37" s="8" t="s">
        <v>1</v>
      </c>
      <c r="W37" s="8" t="s">
        <v>1</v>
      </c>
      <c r="X37" s="8" t="s">
        <v>1</v>
      </c>
      <c r="Y37" s="8" t="s">
        <v>1</v>
      </c>
      <c r="Z37" s="8" t="s">
        <v>1</v>
      </c>
      <c r="AA37" s="8" t="s">
        <v>1</v>
      </c>
      <c r="AB37" s="8" t="s">
        <v>1</v>
      </c>
    </row>
    <row r="38" spans="1:28" ht="50" customHeight="1" x14ac:dyDescent="0.35">
      <c r="A38" s="8" t="s">
        <v>1</v>
      </c>
      <c r="B38" s="8" t="s">
        <v>1</v>
      </c>
      <c r="C38" s="8" t="s">
        <v>1</v>
      </c>
      <c r="D38" s="8" t="s">
        <v>1</v>
      </c>
      <c r="E38" s="8" t="s">
        <v>1</v>
      </c>
      <c r="F38" s="8" t="s">
        <v>1</v>
      </c>
      <c r="G38" s="8" t="s">
        <v>1</v>
      </c>
      <c r="H38" s="8" t="s">
        <v>1</v>
      </c>
      <c r="I38" s="8" t="s">
        <v>1</v>
      </c>
      <c r="J38" s="8" t="s">
        <v>1</v>
      </c>
      <c r="K38" s="8" t="s">
        <v>1</v>
      </c>
      <c r="L38" s="8" t="s">
        <v>1</v>
      </c>
      <c r="M38" s="8" t="s">
        <v>1</v>
      </c>
      <c r="N38" s="8" t="s">
        <v>1</v>
      </c>
      <c r="O38" s="8" t="s">
        <v>1</v>
      </c>
      <c r="P38" s="8" t="s">
        <v>1</v>
      </c>
      <c r="Q38" s="8" t="s">
        <v>1</v>
      </c>
      <c r="R38" s="8" t="s">
        <v>1</v>
      </c>
      <c r="S38" s="8" t="s">
        <v>1</v>
      </c>
      <c r="T38" s="8" t="s">
        <v>1</v>
      </c>
      <c r="U38" s="8" t="s">
        <v>1</v>
      </c>
      <c r="V38" s="8" t="s">
        <v>1</v>
      </c>
      <c r="W38" s="8" t="s">
        <v>1</v>
      </c>
      <c r="X38" s="8" t="s">
        <v>1</v>
      </c>
      <c r="Y38" s="8" t="s">
        <v>1</v>
      </c>
      <c r="Z38" s="8" t="s">
        <v>1</v>
      </c>
      <c r="AA38" s="8" t="s">
        <v>1</v>
      </c>
      <c r="AB38" s="8" t="s">
        <v>1</v>
      </c>
    </row>
    <row r="39" spans="1:28" ht="50" customHeight="1" x14ac:dyDescent="0.35">
      <c r="A39" s="8" t="s">
        <v>1</v>
      </c>
      <c r="B39" s="8" t="s">
        <v>1</v>
      </c>
      <c r="C39" s="8" t="s">
        <v>1</v>
      </c>
      <c r="D39" s="8" t="s">
        <v>1</v>
      </c>
      <c r="E39" s="8" t="s">
        <v>1</v>
      </c>
      <c r="F39" s="8" t="s">
        <v>1</v>
      </c>
      <c r="G39" s="8" t="s">
        <v>1</v>
      </c>
      <c r="H39" s="8" t="s">
        <v>1</v>
      </c>
      <c r="I39" s="8" t="s">
        <v>1</v>
      </c>
      <c r="J39" s="8" t="s">
        <v>1</v>
      </c>
      <c r="K39" s="8" t="s">
        <v>1</v>
      </c>
      <c r="L39" s="8" t="s">
        <v>1</v>
      </c>
      <c r="M39" s="8" t="s">
        <v>1</v>
      </c>
      <c r="N39" s="8" t="s">
        <v>1</v>
      </c>
      <c r="O39" s="8" t="s">
        <v>1</v>
      </c>
      <c r="P39" s="8" t="s">
        <v>1</v>
      </c>
      <c r="Q39" s="8" t="s">
        <v>1</v>
      </c>
      <c r="R39" s="8" t="s">
        <v>1</v>
      </c>
      <c r="S39" s="8" t="s">
        <v>1</v>
      </c>
      <c r="T39" s="8" t="s">
        <v>1</v>
      </c>
      <c r="U39" s="8" t="s">
        <v>1</v>
      </c>
      <c r="V39" s="8" t="s">
        <v>1</v>
      </c>
      <c r="W39" s="8" t="s">
        <v>1</v>
      </c>
      <c r="X39" s="8" t="s">
        <v>1</v>
      </c>
      <c r="Y39" s="8" t="s">
        <v>1</v>
      </c>
      <c r="Z39" s="8" t="s">
        <v>1</v>
      </c>
      <c r="AA39" s="8" t="s">
        <v>1</v>
      </c>
      <c r="AB39" s="8" t="s">
        <v>1</v>
      </c>
    </row>
    <row r="40" spans="1:28" ht="50" customHeight="1" x14ac:dyDescent="0.35">
      <c r="A40" s="8" t="s">
        <v>1</v>
      </c>
      <c r="B40" s="8" t="s">
        <v>1</v>
      </c>
      <c r="C40" s="8" t="s">
        <v>1</v>
      </c>
      <c r="D40" s="8" t="s">
        <v>1</v>
      </c>
      <c r="E40" s="8" t="s">
        <v>1</v>
      </c>
      <c r="F40" s="8" t="s">
        <v>1</v>
      </c>
      <c r="G40" s="8" t="s">
        <v>1</v>
      </c>
      <c r="H40" s="8" t="s">
        <v>1</v>
      </c>
      <c r="I40" s="8" t="s">
        <v>1</v>
      </c>
      <c r="J40" s="8" t="s">
        <v>1</v>
      </c>
      <c r="K40" s="8" t="s">
        <v>1</v>
      </c>
      <c r="L40" s="8" t="s">
        <v>1</v>
      </c>
      <c r="M40" s="8" t="s">
        <v>1</v>
      </c>
      <c r="N40" s="8" t="s">
        <v>1</v>
      </c>
      <c r="O40" s="8" t="s">
        <v>1</v>
      </c>
      <c r="P40" s="8" t="s">
        <v>1</v>
      </c>
      <c r="Q40" s="8" t="s">
        <v>1</v>
      </c>
      <c r="R40" s="8" t="s">
        <v>1</v>
      </c>
      <c r="S40" s="8" t="s">
        <v>1</v>
      </c>
      <c r="T40" s="8" t="s">
        <v>1</v>
      </c>
      <c r="U40" s="8" t="s">
        <v>1</v>
      </c>
      <c r="V40" s="8" t="s">
        <v>1</v>
      </c>
      <c r="W40" s="8" t="s">
        <v>1</v>
      </c>
      <c r="X40" s="8" t="s">
        <v>1</v>
      </c>
      <c r="Y40" s="8" t="s">
        <v>1</v>
      </c>
      <c r="Z40" s="8" t="s">
        <v>1</v>
      </c>
      <c r="AA40" s="8" t="s">
        <v>1</v>
      </c>
      <c r="AB40" s="8" t="s">
        <v>1</v>
      </c>
    </row>
    <row r="41" spans="1:28" ht="50" customHeight="1" x14ac:dyDescent="0.35">
      <c r="A41" s="8" t="s">
        <v>1</v>
      </c>
      <c r="B41" s="8" t="s">
        <v>1</v>
      </c>
      <c r="C41" s="8" t="s">
        <v>1</v>
      </c>
      <c r="D41" s="8" t="s">
        <v>1</v>
      </c>
      <c r="E41" s="8" t="s">
        <v>1</v>
      </c>
      <c r="F41" s="8" t="s">
        <v>1</v>
      </c>
      <c r="G41" s="8" t="s">
        <v>1</v>
      </c>
      <c r="H41" s="8" t="s">
        <v>1</v>
      </c>
      <c r="I41" s="8" t="s">
        <v>1</v>
      </c>
      <c r="J41" s="8" t="s">
        <v>1</v>
      </c>
      <c r="K41" s="8" t="s">
        <v>1</v>
      </c>
      <c r="L41" s="8" t="s">
        <v>1</v>
      </c>
      <c r="M41" s="8" t="s">
        <v>1</v>
      </c>
      <c r="N41" s="8" t="s">
        <v>1</v>
      </c>
      <c r="O41" s="8" t="s">
        <v>1</v>
      </c>
      <c r="P41" s="8" t="s">
        <v>1</v>
      </c>
      <c r="Q41" s="8" t="s">
        <v>1</v>
      </c>
      <c r="R41" s="8" t="s">
        <v>1</v>
      </c>
      <c r="S41" s="8" t="s">
        <v>1</v>
      </c>
      <c r="T41" s="8" t="s">
        <v>1</v>
      </c>
      <c r="U41" s="8" t="s">
        <v>1</v>
      </c>
      <c r="V41" s="8" t="s">
        <v>1</v>
      </c>
      <c r="W41" s="8" t="s">
        <v>1</v>
      </c>
      <c r="X41" s="8" t="s">
        <v>1</v>
      </c>
      <c r="Y41" s="8" t="s">
        <v>1</v>
      </c>
      <c r="Z41" s="8" t="s">
        <v>1</v>
      </c>
      <c r="AA41" s="8" t="s">
        <v>1</v>
      </c>
      <c r="AB41" s="8" t="s">
        <v>1</v>
      </c>
    </row>
    <row r="42" spans="1:28" ht="50" customHeight="1" x14ac:dyDescent="0.35">
      <c r="A42" s="8" t="s">
        <v>1</v>
      </c>
      <c r="B42" s="8" t="s">
        <v>1</v>
      </c>
      <c r="C42" s="8" t="s">
        <v>1</v>
      </c>
      <c r="D42" s="8" t="s">
        <v>1</v>
      </c>
      <c r="E42" s="8" t="s">
        <v>1</v>
      </c>
      <c r="F42" s="8" t="s">
        <v>1</v>
      </c>
      <c r="G42" s="8" t="s">
        <v>1</v>
      </c>
      <c r="H42" s="8" t="s">
        <v>1</v>
      </c>
      <c r="I42" s="8" t="s">
        <v>1</v>
      </c>
      <c r="J42" s="8" t="s">
        <v>1</v>
      </c>
      <c r="K42" s="8" t="s">
        <v>1</v>
      </c>
      <c r="L42" s="8" t="s">
        <v>1</v>
      </c>
      <c r="M42" s="8" t="s">
        <v>1</v>
      </c>
      <c r="N42" s="8" t="s">
        <v>1</v>
      </c>
      <c r="O42" s="8" t="s">
        <v>1</v>
      </c>
      <c r="P42" s="8" t="s">
        <v>1</v>
      </c>
      <c r="Q42" s="8" t="s">
        <v>1</v>
      </c>
      <c r="R42" s="8" t="s">
        <v>1</v>
      </c>
      <c r="S42" s="8" t="s">
        <v>1</v>
      </c>
      <c r="T42" s="8" t="s">
        <v>1</v>
      </c>
      <c r="U42" s="8" t="s">
        <v>1</v>
      </c>
      <c r="V42" s="8" t="s">
        <v>1</v>
      </c>
      <c r="W42" s="8" t="s">
        <v>1</v>
      </c>
      <c r="X42" s="8" t="s">
        <v>1</v>
      </c>
      <c r="Y42" s="8" t="s">
        <v>1</v>
      </c>
      <c r="Z42" s="8" t="s">
        <v>1</v>
      </c>
      <c r="AA42" s="8" t="s">
        <v>1</v>
      </c>
      <c r="AB42" s="8" t="s">
        <v>1</v>
      </c>
    </row>
    <row r="43" spans="1:28" ht="50" customHeight="1" x14ac:dyDescent="0.35">
      <c r="A43" s="8" t="s">
        <v>1</v>
      </c>
      <c r="B43" s="8" t="s">
        <v>1</v>
      </c>
      <c r="C43" s="8" t="s">
        <v>1</v>
      </c>
      <c r="D43" s="8" t="s">
        <v>1</v>
      </c>
      <c r="E43" s="8" t="s">
        <v>1</v>
      </c>
      <c r="F43" s="8" t="s">
        <v>1</v>
      </c>
      <c r="G43" s="8" t="s">
        <v>1</v>
      </c>
      <c r="H43" s="8" t="s">
        <v>1</v>
      </c>
      <c r="I43" s="8" t="s">
        <v>1</v>
      </c>
      <c r="J43" s="8" t="s">
        <v>1</v>
      </c>
      <c r="K43" s="8" t="s">
        <v>1</v>
      </c>
      <c r="L43" s="8" t="s">
        <v>1</v>
      </c>
      <c r="M43" s="8" t="s">
        <v>1</v>
      </c>
      <c r="N43" s="8" t="s">
        <v>1</v>
      </c>
      <c r="O43" s="8" t="s">
        <v>1</v>
      </c>
      <c r="P43" s="8" t="s">
        <v>1</v>
      </c>
      <c r="Q43" s="8" t="s">
        <v>1</v>
      </c>
      <c r="R43" s="8" t="s">
        <v>1</v>
      </c>
      <c r="S43" s="8" t="s">
        <v>1</v>
      </c>
      <c r="T43" s="8" t="s">
        <v>1</v>
      </c>
      <c r="U43" s="8" t="s">
        <v>1</v>
      </c>
      <c r="V43" s="8" t="s">
        <v>1</v>
      </c>
      <c r="W43" s="8" t="s">
        <v>1</v>
      </c>
      <c r="X43" s="8" t="s">
        <v>1</v>
      </c>
      <c r="Y43" s="8" t="s">
        <v>1</v>
      </c>
      <c r="Z43" s="8" t="s">
        <v>1</v>
      </c>
      <c r="AA43" s="8" t="s">
        <v>1</v>
      </c>
      <c r="AB43" s="8" t="s">
        <v>1</v>
      </c>
    </row>
    <row r="44" spans="1:28" ht="50" customHeight="1" x14ac:dyDescent="0.35">
      <c r="A44" s="8" t="s">
        <v>1</v>
      </c>
      <c r="B44" s="8" t="s">
        <v>1</v>
      </c>
      <c r="C44" s="8" t="s">
        <v>1</v>
      </c>
      <c r="D44" s="8" t="s">
        <v>1</v>
      </c>
      <c r="E44" s="8" t="s">
        <v>1</v>
      </c>
      <c r="F44" s="8" t="s">
        <v>1</v>
      </c>
      <c r="G44" s="8" t="s">
        <v>1</v>
      </c>
      <c r="H44" s="8" t="s">
        <v>1</v>
      </c>
      <c r="I44" s="8" t="s">
        <v>1</v>
      </c>
      <c r="J44" s="8" t="s">
        <v>1</v>
      </c>
      <c r="K44" s="8" t="s">
        <v>1</v>
      </c>
      <c r="L44" s="8" t="s">
        <v>1</v>
      </c>
      <c r="M44" s="8" t="s">
        <v>1</v>
      </c>
      <c r="N44" s="8" t="s">
        <v>1</v>
      </c>
      <c r="O44" s="8" t="s">
        <v>1</v>
      </c>
      <c r="P44" s="8" t="s">
        <v>1</v>
      </c>
      <c r="Q44" s="8" t="s">
        <v>1</v>
      </c>
      <c r="R44" s="8" t="s">
        <v>1</v>
      </c>
      <c r="S44" s="8" t="s">
        <v>1</v>
      </c>
      <c r="T44" s="8" t="s">
        <v>1</v>
      </c>
      <c r="U44" s="8" t="s">
        <v>1</v>
      </c>
      <c r="V44" s="8" t="s">
        <v>1</v>
      </c>
      <c r="W44" s="8" t="s">
        <v>1</v>
      </c>
      <c r="X44" s="8" t="s">
        <v>1</v>
      </c>
      <c r="Y44" s="8" t="s">
        <v>1</v>
      </c>
      <c r="Z44" s="8" t="s">
        <v>1</v>
      </c>
      <c r="AA44" s="8" t="s">
        <v>1</v>
      </c>
      <c r="AB44" s="8" t="s">
        <v>1</v>
      </c>
    </row>
    <row r="45" spans="1:28" ht="50" customHeight="1" x14ac:dyDescent="0.35">
      <c r="A45" s="8" t="s">
        <v>1</v>
      </c>
      <c r="B45" s="8" t="s">
        <v>1</v>
      </c>
      <c r="C45" s="8" t="s">
        <v>1</v>
      </c>
      <c r="D45" s="8" t="s">
        <v>1</v>
      </c>
      <c r="E45" s="8" t="s">
        <v>1</v>
      </c>
      <c r="F45" s="8" t="s">
        <v>1</v>
      </c>
      <c r="G45" s="8" t="s">
        <v>1</v>
      </c>
      <c r="H45" s="8" t="s">
        <v>1</v>
      </c>
      <c r="I45" s="8" t="s">
        <v>1</v>
      </c>
      <c r="J45" s="8" t="s">
        <v>1</v>
      </c>
      <c r="K45" s="8" t="s">
        <v>16</v>
      </c>
      <c r="L45" s="8" t="s">
        <v>1</v>
      </c>
      <c r="M45" s="8" t="s">
        <v>1</v>
      </c>
      <c r="N45" s="8" t="s">
        <v>1</v>
      </c>
      <c r="O45" s="8" t="s">
        <v>1</v>
      </c>
      <c r="P45" s="8" t="s">
        <v>1</v>
      </c>
      <c r="Q45" s="8" t="s">
        <v>1</v>
      </c>
      <c r="R45" s="8" t="s">
        <v>1</v>
      </c>
      <c r="S45" s="8" t="s">
        <v>1</v>
      </c>
      <c r="T45" s="8" t="s">
        <v>1</v>
      </c>
      <c r="U45" s="8" t="s">
        <v>1</v>
      </c>
      <c r="V45" s="8" t="s">
        <v>1</v>
      </c>
      <c r="W45" s="8" t="s">
        <v>1</v>
      </c>
      <c r="X45" s="8" t="s">
        <v>1</v>
      </c>
      <c r="Y45" s="8" t="s">
        <v>1</v>
      </c>
      <c r="Z45" s="8" t="s">
        <v>1</v>
      </c>
      <c r="AA45" s="8" t="s">
        <v>1</v>
      </c>
      <c r="AB45" s="8" t="s">
        <v>1</v>
      </c>
    </row>
    <row r="46" spans="1:28" ht="50" customHeight="1" x14ac:dyDescent="0.35">
      <c r="A46" s="8" t="s">
        <v>1</v>
      </c>
      <c r="B46" s="8" t="s">
        <v>1</v>
      </c>
      <c r="C46" s="8" t="s">
        <v>1</v>
      </c>
      <c r="D46" s="8" t="s">
        <v>1</v>
      </c>
      <c r="E46" s="8" t="s">
        <v>1</v>
      </c>
      <c r="F46" s="8" t="s">
        <v>1</v>
      </c>
      <c r="G46" s="8" t="s">
        <v>1</v>
      </c>
      <c r="H46" s="8" t="s">
        <v>1</v>
      </c>
      <c r="I46" s="8" t="s">
        <v>1</v>
      </c>
      <c r="J46" s="8" t="s">
        <v>16</v>
      </c>
      <c r="K46" s="8" t="s">
        <v>16</v>
      </c>
      <c r="L46" s="8" t="s">
        <v>1</v>
      </c>
      <c r="M46" s="8" t="s">
        <v>1</v>
      </c>
      <c r="N46" s="8" t="s">
        <v>1</v>
      </c>
      <c r="O46" s="8" t="s">
        <v>1</v>
      </c>
      <c r="P46" s="8" t="s">
        <v>1</v>
      </c>
      <c r="Q46" s="8" t="s">
        <v>1</v>
      </c>
      <c r="R46" s="8" t="s">
        <v>1</v>
      </c>
      <c r="S46" s="8" t="s">
        <v>1</v>
      </c>
      <c r="T46" s="8" t="s">
        <v>1</v>
      </c>
      <c r="U46" s="8" t="s">
        <v>1</v>
      </c>
      <c r="V46" s="8" t="s">
        <v>1</v>
      </c>
      <c r="W46" s="8" t="s">
        <v>1</v>
      </c>
      <c r="X46" s="8" t="s">
        <v>1</v>
      </c>
      <c r="Y46" s="8" t="s">
        <v>1</v>
      </c>
      <c r="Z46" s="8" t="s">
        <v>1</v>
      </c>
      <c r="AA46" s="8" t="s">
        <v>1</v>
      </c>
      <c r="AB46" s="8" t="s">
        <v>1</v>
      </c>
    </row>
    <row r="47" spans="1:28" ht="50" customHeight="1" x14ac:dyDescent="0.35">
      <c r="A47" s="8" t="s">
        <v>1</v>
      </c>
      <c r="B47" s="8" t="s">
        <v>1</v>
      </c>
      <c r="C47" s="8" t="s">
        <v>1</v>
      </c>
      <c r="D47" s="8" t="s">
        <v>1</v>
      </c>
      <c r="E47" s="8" t="s">
        <v>1</v>
      </c>
      <c r="F47" s="8" t="s">
        <v>1</v>
      </c>
      <c r="G47" s="8" t="s">
        <v>1</v>
      </c>
      <c r="H47" s="8" t="s">
        <v>1</v>
      </c>
      <c r="I47" s="8" t="s">
        <v>1</v>
      </c>
      <c r="J47" s="8" t="s">
        <v>1</v>
      </c>
      <c r="K47" s="8" t="s">
        <v>1</v>
      </c>
      <c r="L47" s="8" t="s">
        <v>1</v>
      </c>
      <c r="M47" s="8" t="s">
        <v>1</v>
      </c>
      <c r="N47" s="8" t="s">
        <v>1</v>
      </c>
      <c r="O47" s="8" t="s">
        <v>1</v>
      </c>
      <c r="P47" s="8" t="s">
        <v>1</v>
      </c>
      <c r="Q47" s="8" t="s">
        <v>1</v>
      </c>
      <c r="R47" s="8" t="s">
        <v>1</v>
      </c>
      <c r="S47" s="8" t="s">
        <v>1</v>
      </c>
      <c r="T47" s="8" t="s">
        <v>1</v>
      </c>
      <c r="U47" s="8" t="s">
        <v>1</v>
      </c>
      <c r="V47" s="8" t="s">
        <v>1</v>
      </c>
      <c r="W47" s="8" t="s">
        <v>1</v>
      </c>
      <c r="X47" s="8" t="s">
        <v>1</v>
      </c>
      <c r="Y47" s="8" t="s">
        <v>1</v>
      </c>
      <c r="Z47" s="8" t="s">
        <v>1</v>
      </c>
      <c r="AA47" s="8" t="s">
        <v>1</v>
      </c>
      <c r="AB47" s="8" t="s">
        <v>1</v>
      </c>
    </row>
    <row r="48" spans="1:28" ht="50" customHeight="1" x14ac:dyDescent="0.35">
      <c r="A48" s="8" t="s">
        <v>1</v>
      </c>
      <c r="B48" s="8" t="s">
        <v>1</v>
      </c>
      <c r="C48" s="8" t="s">
        <v>1</v>
      </c>
      <c r="D48" s="8" t="s">
        <v>1</v>
      </c>
      <c r="E48" s="8" t="s">
        <v>1</v>
      </c>
      <c r="F48" s="8" t="s">
        <v>1</v>
      </c>
      <c r="G48" s="8" t="s">
        <v>1</v>
      </c>
      <c r="H48" s="8" t="s">
        <v>1</v>
      </c>
      <c r="I48" s="8" t="s">
        <v>1</v>
      </c>
      <c r="J48" s="8" t="s">
        <v>1</v>
      </c>
      <c r="K48" s="8" t="s">
        <v>1</v>
      </c>
      <c r="L48" s="8" t="s">
        <v>1</v>
      </c>
      <c r="M48" s="8" t="s">
        <v>1</v>
      </c>
      <c r="N48" s="8" t="s">
        <v>1</v>
      </c>
      <c r="O48" s="8" t="s">
        <v>1</v>
      </c>
      <c r="P48" s="8" t="s">
        <v>1</v>
      </c>
      <c r="Q48" s="8" t="s">
        <v>1</v>
      </c>
      <c r="R48" s="8" t="s">
        <v>1</v>
      </c>
      <c r="S48" s="8" t="s">
        <v>1</v>
      </c>
      <c r="T48" s="8" t="s">
        <v>1</v>
      </c>
      <c r="U48" s="8" t="s">
        <v>1</v>
      </c>
      <c r="V48" s="8" t="s">
        <v>1</v>
      </c>
      <c r="W48" s="8" t="s">
        <v>1</v>
      </c>
      <c r="X48" s="8" t="s">
        <v>1</v>
      </c>
      <c r="Y48" s="8" t="s">
        <v>1</v>
      </c>
      <c r="Z48" s="8" t="s">
        <v>1</v>
      </c>
      <c r="AA48" s="8" t="s">
        <v>1</v>
      </c>
      <c r="AB48" s="8" t="s">
        <v>1</v>
      </c>
    </row>
    <row r="49" spans="1:28" ht="50" customHeight="1" x14ac:dyDescent="0.35">
      <c r="A49" s="8" t="s">
        <v>1</v>
      </c>
      <c r="B49" s="8" t="s">
        <v>1</v>
      </c>
      <c r="C49" s="8" t="s">
        <v>14</v>
      </c>
      <c r="D49" s="8" t="s">
        <v>1</v>
      </c>
      <c r="E49" s="8" t="s">
        <v>1</v>
      </c>
      <c r="F49" s="8" t="s">
        <v>1</v>
      </c>
      <c r="G49" s="8" t="s">
        <v>1</v>
      </c>
      <c r="H49" s="8" t="s">
        <v>1</v>
      </c>
      <c r="I49" s="8" t="s">
        <v>1</v>
      </c>
      <c r="J49" s="8" t="s">
        <v>1</v>
      </c>
      <c r="K49" s="8" t="s">
        <v>14</v>
      </c>
      <c r="L49" s="8" t="s">
        <v>1</v>
      </c>
      <c r="M49" s="8" t="s">
        <v>1</v>
      </c>
      <c r="N49" s="8" t="s">
        <v>1</v>
      </c>
      <c r="O49" s="8" t="s">
        <v>1</v>
      </c>
      <c r="P49" s="8" t="s">
        <v>14</v>
      </c>
      <c r="Q49" s="8" t="s">
        <v>1</v>
      </c>
      <c r="R49" s="8" t="s">
        <v>1</v>
      </c>
      <c r="S49" s="8" t="s">
        <v>1</v>
      </c>
      <c r="T49" s="8" t="s">
        <v>1</v>
      </c>
      <c r="U49" s="8" t="s">
        <v>14</v>
      </c>
      <c r="V49" s="8" t="s">
        <v>1</v>
      </c>
      <c r="W49" s="8" t="s">
        <v>1</v>
      </c>
      <c r="X49" s="8" t="s">
        <v>1</v>
      </c>
      <c r="Y49" s="8" t="s">
        <v>14</v>
      </c>
      <c r="Z49" s="8" t="s">
        <v>1</v>
      </c>
      <c r="AA49" s="8" t="s">
        <v>14</v>
      </c>
      <c r="AB49" s="8" t="s">
        <v>1</v>
      </c>
    </row>
    <row r="50" spans="1:28" ht="50" customHeight="1" x14ac:dyDescent="0.35">
      <c r="A50" s="8" t="s">
        <v>1</v>
      </c>
      <c r="B50" s="8" t="s">
        <v>14</v>
      </c>
      <c r="C50" s="8" t="s">
        <v>1</v>
      </c>
      <c r="D50" s="8" t="s">
        <v>14</v>
      </c>
      <c r="E50" s="8" t="s">
        <v>14</v>
      </c>
      <c r="F50" s="8" t="s">
        <v>1</v>
      </c>
      <c r="G50" s="8" t="s">
        <v>14</v>
      </c>
      <c r="H50" s="8" t="s">
        <v>1</v>
      </c>
      <c r="I50" s="8" t="s">
        <v>14</v>
      </c>
      <c r="J50" s="8" t="s">
        <v>1</v>
      </c>
      <c r="K50" s="8" t="s">
        <v>1</v>
      </c>
      <c r="L50" s="8" t="s">
        <v>14</v>
      </c>
      <c r="M50" s="8" t="s">
        <v>14</v>
      </c>
      <c r="N50" s="8" t="s">
        <v>1</v>
      </c>
      <c r="O50" s="8" t="s">
        <v>14</v>
      </c>
      <c r="P50" s="8" t="s">
        <v>14</v>
      </c>
      <c r="Q50" s="8" t="s">
        <v>1</v>
      </c>
      <c r="R50" s="8" t="s">
        <v>14</v>
      </c>
      <c r="S50" s="8" t="s">
        <v>1</v>
      </c>
      <c r="T50" s="8" t="s">
        <v>14</v>
      </c>
      <c r="U50" s="8" t="s">
        <v>1</v>
      </c>
      <c r="V50" s="8" t="s">
        <v>1</v>
      </c>
      <c r="W50" s="8" t="s">
        <v>14</v>
      </c>
      <c r="X50" s="8" t="s">
        <v>1</v>
      </c>
      <c r="Y50" s="8" t="s">
        <v>14</v>
      </c>
      <c r="Z50" s="8" t="s">
        <v>14</v>
      </c>
      <c r="AA50" s="8" t="s">
        <v>1</v>
      </c>
      <c r="AB50" s="8" t="s">
        <v>1</v>
      </c>
    </row>
    <row r="51" spans="1:28" ht="50" customHeight="1" x14ac:dyDescent="0.35">
      <c r="A51" s="8" t="s">
        <v>14</v>
      </c>
      <c r="B51" s="8" t="s">
        <v>14</v>
      </c>
      <c r="C51" s="8" t="s">
        <v>14</v>
      </c>
      <c r="D51" s="8" t="s">
        <v>14</v>
      </c>
      <c r="E51" s="8" t="s">
        <v>14</v>
      </c>
      <c r="F51" s="8" t="s">
        <v>14</v>
      </c>
      <c r="G51" s="8" t="s">
        <v>14</v>
      </c>
      <c r="H51" s="8" t="s">
        <v>14</v>
      </c>
      <c r="I51" s="8" t="s">
        <v>14</v>
      </c>
      <c r="J51" s="8" t="s">
        <v>14</v>
      </c>
      <c r="K51" s="8" t="s">
        <v>14</v>
      </c>
      <c r="L51" s="8" t="s">
        <v>14</v>
      </c>
      <c r="M51" s="8" t="s">
        <v>14</v>
      </c>
      <c r="N51" s="8" t="s">
        <v>14</v>
      </c>
      <c r="O51" s="8" t="s">
        <v>14</v>
      </c>
      <c r="P51" s="8" t="s">
        <v>14</v>
      </c>
      <c r="Q51" s="8" t="s">
        <v>14</v>
      </c>
      <c r="R51" s="8" t="s">
        <v>14</v>
      </c>
      <c r="S51" s="8" t="s">
        <v>14</v>
      </c>
      <c r="T51" s="8" t="s">
        <v>14</v>
      </c>
      <c r="U51" s="8" t="s">
        <v>14</v>
      </c>
      <c r="V51" s="8" t="s">
        <v>14</v>
      </c>
      <c r="W51" s="8" t="s">
        <v>14</v>
      </c>
      <c r="X51" s="8" t="s">
        <v>14</v>
      </c>
      <c r="Y51" s="8" t="s">
        <v>14</v>
      </c>
      <c r="Z51" s="8" t="s">
        <v>14</v>
      </c>
      <c r="AA51" s="8" t="s">
        <v>14</v>
      </c>
      <c r="AB51" s="8" t="s">
        <v>14</v>
      </c>
    </row>
  </sheetData>
  <conditionalFormatting sqref="A2:AD51 T1:AD1 A1:H1 J1:R1">
    <cfRule type="beginsWith" dxfId="13" priority="34" operator="beginsWith" text="Iron ore">
      <formula>LEFT(A1,LEN("Iron ore"))="Iron ore"</formula>
    </cfRule>
    <cfRule type="beginsWith" dxfId="12" priority="35" operator="beginsWith" text="Coal ore">
      <formula>LEFT(A1,LEN("Coal ore"))="Coal ore"</formula>
    </cfRule>
    <cfRule type="beginsWith" dxfId="11" priority="36" operator="beginsWith" text="Diamond ore">
      <formula>LEFT(A1,LEN("Diamond ore"))="Diamond ore"</formula>
    </cfRule>
    <cfRule type="beginsWith" dxfId="10" priority="39" operator="beginsWith" text="Bedrock">
      <formula>LEFT(A1,LEN("Bedrock"))="Bedrock"</formula>
    </cfRule>
    <cfRule type="beginsWith" dxfId="9" priority="150" operator="beginsWith" text="Cobblestone">
      <formula>LEFT(A1,LEN("Cobblestone"))="Cobblestone"</formula>
    </cfRule>
    <cfRule type="beginsWith" dxfId="8" priority="151" operator="beginsWith" text="Crafting table">
      <formula>LEFT(A1,LEN("Crafting table"))="Crafting table"</formula>
    </cfRule>
    <cfRule type="beginsWith" dxfId="7" priority="152" operator="beginsWith" text="Oak planks">
      <formula>LEFT(A1,LEN("Oak planks"))="Oak planks"</formula>
    </cfRule>
    <cfRule type="beginsWith" dxfId="6" priority="153" operator="beginsWith" text="Oak leaves">
      <formula>LEFT(A1,LEN("Oak leaves"))="Oak leaves"</formula>
    </cfRule>
    <cfRule type="beginsWith" dxfId="5" priority="154" operator="beginsWith" text="Oak log">
      <formula>LEFT(A1,LEN("Oak log"))="Oak log"</formula>
    </cfRule>
    <cfRule type="beginsWith" dxfId="4" priority="155" operator="beginsWith" text="Stone">
      <formula>LEFT(A1,LEN("Stone"))="Stone"</formula>
    </cfRule>
    <cfRule type="beginsWith" dxfId="3" priority="156" operator="beginsWith" text="Dirt">
      <formula>LEFT(A1,LEN("Dirt"))="Dirt"</formula>
    </cfRule>
    <cfRule type="beginsWith" dxfId="2" priority="158" operator="beginsWith" text="Grass">
      <formula>LEFT(A1,LEN("Grass"))="Grass"</formula>
    </cfRule>
    <cfRule type="containsBlanks" dxfId="1" priority="159">
      <formula>LEN(TRIM(A1))=0</formula>
    </cfRule>
  </conditionalFormatting>
  <conditionalFormatting sqref="A2:AD9 T1:AD1 A1:H1 J1:R1">
    <cfRule type="beginsWith" dxfId="0" priority="160" operator="beginsWith" text="Sky">
      <formula>LEFT(A1,LEN("Sky"))="Sky"</formula>
    </cfRule>
  </conditionalFormatting>
  <conditionalFormatting sqref="A10:AB51">
    <cfRule type="beginsWith" dxfId="46" priority="37" operator="beginsWith" text="Sky">
      <formula>LEFT(A10,LEN("Sky"))="Sky"</formula>
    </cfRule>
  </conditionalFormatting>
  <conditionalFormatting sqref="A1:H1 T1:AB1">
    <cfRule type="cellIs" dxfId="45" priority="31" operator="equal">
      <formula>""</formula>
    </cfRule>
  </conditionalFormatting>
  <conditionalFormatting sqref="S1">
    <cfRule type="beginsWith" dxfId="44" priority="17" operator="beginsWith" text="Iron ore">
      <formula>LEFT(S1,LEN("Iron ore"))="Iron ore"</formula>
    </cfRule>
    <cfRule type="beginsWith" dxfId="43" priority="18" operator="beginsWith" text="Coal ore">
      <formula>LEFT(S1,LEN("Coal ore"))="Coal ore"</formula>
    </cfRule>
    <cfRule type="beginsWith" dxfId="42" priority="19" operator="beginsWith" text="Diamond ore">
      <formula>LEFT(S1,LEN("Diamond ore"))="Diamond ore"</formula>
    </cfRule>
    <cfRule type="beginsWith" dxfId="41" priority="20" operator="beginsWith" text="Bedrock">
      <formula>LEFT(S1,LEN("Bedrock"))="Bedrock"</formula>
    </cfRule>
    <cfRule type="beginsWith" dxfId="40" priority="21" operator="beginsWith" text="Cobblestone">
      <formula>LEFT(S1,LEN("Cobblestone"))="Cobblestone"</formula>
    </cfRule>
    <cfRule type="beginsWith" dxfId="39" priority="22" operator="beginsWith" text="Crafting table">
      <formula>LEFT(S1,LEN("Crafting table"))="Crafting table"</formula>
    </cfRule>
    <cfRule type="beginsWith" dxfId="38" priority="23" operator="beginsWith" text="Oak planks">
      <formula>LEFT(S1,LEN("Oak planks"))="Oak planks"</formula>
    </cfRule>
    <cfRule type="beginsWith" dxfId="37" priority="24" operator="beginsWith" text="Oak leaves">
      <formula>LEFT(S1,LEN("Oak leaves"))="Oak leaves"</formula>
    </cfRule>
    <cfRule type="beginsWith" dxfId="36" priority="25" operator="beginsWith" text="Oak log">
      <formula>LEFT(S1,LEN("Oak log"))="Oak log"</formula>
    </cfRule>
    <cfRule type="beginsWith" dxfId="35" priority="26" operator="beginsWith" text="Stone">
      <formula>LEFT(S1,LEN("Stone"))="Stone"</formula>
    </cfRule>
    <cfRule type="beginsWith" dxfId="34" priority="27" operator="beginsWith" text="Dirt">
      <formula>LEFT(S1,LEN("Dirt"))="Dirt"</formula>
    </cfRule>
    <cfRule type="beginsWith" dxfId="33" priority="28" operator="beginsWith" text="Grass">
      <formula>LEFT(S1,LEN("Grass"))="Grass"</formula>
    </cfRule>
    <cfRule type="containsBlanks" dxfId="32" priority="29">
      <formula>LEN(TRIM(S1))=0</formula>
    </cfRule>
  </conditionalFormatting>
  <conditionalFormatting sqref="S1">
    <cfRule type="beginsWith" dxfId="31" priority="30" operator="beginsWith" text="Sky">
      <formula>LEFT(S1,LEN("Sky"))="Sky"</formula>
    </cfRule>
  </conditionalFormatting>
  <conditionalFormatting sqref="S1">
    <cfRule type="cellIs" dxfId="30" priority="16" operator="equal">
      <formula>""</formula>
    </cfRule>
  </conditionalFormatting>
  <conditionalFormatting sqref="I1">
    <cfRule type="beginsWith" dxfId="29" priority="2" operator="beginsWith" text="Iron ore">
      <formula>LEFT(I1,LEN("Iron ore"))="Iron ore"</formula>
    </cfRule>
    <cfRule type="beginsWith" dxfId="28" priority="3" operator="beginsWith" text="Coal ore">
      <formula>LEFT(I1,LEN("Coal ore"))="Coal ore"</formula>
    </cfRule>
    <cfRule type="beginsWith" dxfId="27" priority="4" operator="beginsWith" text="Diamond ore">
      <formula>LEFT(I1,LEN("Diamond ore"))="Diamond ore"</formula>
    </cfRule>
    <cfRule type="beginsWith" dxfId="26" priority="5" operator="beginsWith" text="Bedrock">
      <formula>LEFT(I1,LEN("Bedrock"))="Bedrock"</formula>
    </cfRule>
    <cfRule type="beginsWith" dxfId="25" priority="6" operator="beginsWith" text="Cobblestone">
      <formula>LEFT(I1,LEN("Cobblestone"))="Cobblestone"</formula>
    </cfRule>
    <cfRule type="beginsWith" dxfId="24" priority="7" operator="beginsWith" text="Crafting table">
      <formula>LEFT(I1,LEN("Crafting table"))="Crafting table"</formula>
    </cfRule>
    <cfRule type="beginsWith" dxfId="23" priority="8" operator="beginsWith" text="Oak planks">
      <formula>LEFT(I1,LEN("Oak planks"))="Oak planks"</formula>
    </cfRule>
    <cfRule type="beginsWith" dxfId="22" priority="9" operator="beginsWith" text="Oak leaves">
      <formula>LEFT(I1,LEN("Oak leaves"))="Oak leaves"</formula>
    </cfRule>
    <cfRule type="beginsWith" dxfId="21" priority="10" operator="beginsWith" text="Oak log">
      <formula>LEFT(I1,LEN("Oak log"))="Oak log"</formula>
    </cfRule>
    <cfRule type="cellIs" dxfId="20" priority="11" operator="equal">
      <formula>"Stone"</formula>
    </cfRule>
    <cfRule type="beginsWith" dxfId="19" priority="12" operator="beginsWith" text="Dirt">
      <formula>LEFT(I1,LEN("Dirt"))="Dirt"</formula>
    </cfRule>
    <cfRule type="beginsWith" dxfId="18" priority="13" operator="beginsWith" text="Grass">
      <formula>LEFT(I1,LEN("Grass"))="Grass"</formula>
    </cfRule>
    <cfRule type="containsBlanks" dxfId="17" priority="14">
      <formula>LEN(TRIM(I1))=0</formula>
    </cfRule>
  </conditionalFormatting>
  <conditionalFormatting sqref="I1">
    <cfRule type="beginsWith" dxfId="16" priority="15" operator="beginsWith" text="Sky">
      <formula>LEFT(I1,LEN("Sky"))="Sky"</formula>
    </cfRule>
  </conditionalFormatting>
  <conditionalFormatting sqref="I1">
    <cfRule type="cellIs" dxfId="15" priority="1" operator="equal">
      <formula>""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A368F-6386-4FD7-8D92-3959C327C0F3}">
  <sheetPr codeName="Sheet2"/>
  <dimension ref="A1:R12"/>
  <sheetViews>
    <sheetView zoomScale="75" zoomScaleNormal="75" workbookViewId="0"/>
  </sheetViews>
  <sheetFormatPr defaultColWidth="9.08984375" defaultRowHeight="50" customHeight="1" x14ac:dyDescent="0.35"/>
  <cols>
    <col min="11" max="11" width="9.08984375" customWidth="1"/>
  </cols>
  <sheetData>
    <row r="1" spans="1:18" ht="50" customHeight="1" thickBot="1" x14ac:dyDescent="0.4">
      <c r="A1" s="32" t="s">
        <v>28</v>
      </c>
      <c r="G1" s="20" t="s">
        <v>15</v>
      </c>
      <c r="H1" s="15"/>
      <c r="I1" s="17"/>
      <c r="J1" s="1"/>
      <c r="K1" s="1"/>
      <c r="L1" s="28"/>
      <c r="M1" s="28"/>
      <c r="N1" s="28"/>
      <c r="O1" s="1"/>
      <c r="P1" s="1"/>
      <c r="Q1" s="1"/>
    </row>
    <row r="2" spans="1:18" ht="50" customHeight="1" thickTop="1" thickBot="1" x14ac:dyDescent="0.4">
      <c r="A2" s="34" t="s">
        <v>20</v>
      </c>
      <c r="B2" s="22"/>
      <c r="G2" s="1"/>
      <c r="H2" s="18"/>
      <c r="I2" s="14"/>
      <c r="J2" s="19"/>
      <c r="K2" s="15"/>
      <c r="L2" s="28"/>
      <c r="M2" s="26"/>
      <c r="N2" s="26"/>
      <c r="O2" s="1"/>
      <c r="P2" s="22" t="str">
        <f>_xlfn.CONCAT(A12:U16)</f>
        <v xml:space="preserve"> </v>
      </c>
      <c r="Q2" s="1"/>
      <c r="R2" s="8"/>
    </row>
    <row r="3" spans="1:18" ht="50" customHeight="1" thickTop="1" thickBot="1" x14ac:dyDescent="0.4">
      <c r="A3" s="33" t="s">
        <v>29</v>
      </c>
      <c r="B3" s="22"/>
      <c r="G3" s="1"/>
      <c r="H3" s="18"/>
      <c r="I3" s="14"/>
      <c r="J3" s="19"/>
      <c r="K3" s="31"/>
      <c r="L3" s="28"/>
      <c r="M3" s="26"/>
      <c r="N3" s="26"/>
      <c r="O3" s="1"/>
      <c r="P3" s="13"/>
      <c r="Q3" s="1"/>
    </row>
    <row r="4" spans="1:18" ht="50" customHeight="1" thickTop="1" thickBot="1" x14ac:dyDescent="0.4">
      <c r="G4" s="1"/>
      <c r="H4" s="1"/>
      <c r="I4" s="16"/>
      <c r="J4" s="1"/>
      <c r="K4" s="1"/>
      <c r="L4" s="1"/>
      <c r="M4" s="1"/>
      <c r="N4" s="1"/>
      <c r="O4" s="1"/>
      <c r="P4" s="1"/>
      <c r="Q4" s="1"/>
    </row>
    <row r="5" spans="1:18" ht="50" customHeight="1" thickTop="1" thickBot="1" x14ac:dyDescent="0.4">
      <c r="G5" s="1"/>
      <c r="H5" s="21"/>
      <c r="I5" s="21"/>
      <c r="J5" s="21"/>
      <c r="K5" s="21"/>
      <c r="L5" s="22"/>
      <c r="M5" s="27"/>
      <c r="N5" s="22"/>
      <c r="O5" s="22"/>
      <c r="P5" s="22"/>
      <c r="Q5" s="1"/>
    </row>
    <row r="6" spans="1:18" ht="50" customHeight="1" thickTop="1" thickBot="1" x14ac:dyDescent="0.4">
      <c r="G6" s="1"/>
      <c r="H6" s="23"/>
      <c r="I6" s="23"/>
      <c r="J6" s="23"/>
      <c r="K6" s="24"/>
      <c r="L6" s="22"/>
      <c r="M6" s="22"/>
      <c r="N6" s="22"/>
      <c r="O6" s="22"/>
      <c r="P6" s="22"/>
      <c r="Q6" s="1"/>
    </row>
    <row r="7" spans="1:18" ht="50" customHeight="1" thickTop="1" thickBot="1" x14ac:dyDescent="0.4">
      <c r="G7" s="1"/>
      <c r="H7" s="22"/>
      <c r="I7" s="22"/>
      <c r="J7" s="22"/>
      <c r="K7" s="22"/>
      <c r="L7" s="22"/>
      <c r="M7" s="22"/>
      <c r="N7" s="22"/>
      <c r="O7" s="22"/>
      <c r="P7" s="22"/>
      <c r="Q7" s="1"/>
    </row>
    <row r="8" spans="1:18" ht="50" customHeight="1" thickTop="1" thickBot="1" x14ac:dyDescent="0.4"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8" ht="50" customHeight="1" thickTop="1" thickBot="1" x14ac:dyDescent="0.4">
      <c r="G9" s="1"/>
      <c r="H9" s="22"/>
      <c r="I9" s="22"/>
      <c r="J9" s="22"/>
      <c r="K9" s="22"/>
      <c r="L9" s="25"/>
      <c r="M9" s="22"/>
      <c r="N9" s="22"/>
      <c r="O9" s="22"/>
      <c r="P9" s="22"/>
      <c r="Q9" s="1"/>
    </row>
    <row r="10" spans="1:18" ht="50" customHeight="1" thickTop="1" x14ac:dyDescent="0.35"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2" spans="1:18" ht="50" customHeight="1" x14ac:dyDescent="0.35">
      <c r="A12" t="str">
        <f>IF(AND(M2="Oak log",AND(M3="",AND(N2="",N3=""))),"Oak planks 4",IF(AND(M2="",AND(M3="Oak log",AND(N2="",N3=""))),"Oak planks 4",IF(AND(M2="",AND(M3="",AND(N2="Oak log",N3=""))),"Oak planks 4",IF(AND(M2="",AND(M3="",AND(N2="",N3="Oak log"))),"Oak planks 4",""))))</f>
        <v/>
      </c>
      <c r="B12" t="str">
        <f>IF(AND(M2="Oak planks",AND(M3="Oak planks",AND(N2="Oak planks",N3="Oak planks"))),"Crafting table","")</f>
        <v/>
      </c>
      <c r="C12" t="str">
        <f>IF(AND(M2="Oak planks",AND(M3="Oak planks",AND(N2="",N3=""))),"Stick 4",IF(AND(M2="",AND(M3="",AND(N2="Oak planks",N3="Oak planks"))),"Stick 4",""))</f>
        <v/>
      </c>
      <c r="D12" t="str">
        <f>IF(AND(L1="Oak planks",AND(M1="Oak planks",AND(N1="Oak planks",AND(L2="",AND(M2="Stick",AND(N2="",AND(L3="",AND(M3="Stick",N3="")))))))),"Wooden pickaxe","")</f>
        <v/>
      </c>
      <c r="E12" t="str">
        <f>IF(AND(L1="Cobblestone",AND(M1="Cobblestone",AND(N1="Cobblestone",AND(L2="",AND(M2="Stick",AND(N2="",AND(L3="",AND(M3="Stick",N3="")))))))),"Stone pickaxe","")</f>
        <v/>
      </c>
      <c r="F12" t="str">
        <f>IF(AND(L1="Iron ingot",AND(M1="Iron ingot",AND(N1="Iron ingot",AND(L2="",AND(M2="Stick",AND(N2="",AND(L3="",AND(M3="Stick",N3="")))))))),"Iron pickaxe","")</f>
        <v/>
      </c>
      <c r="G12" t="str">
        <f>IF(AND(L1="Diamond",AND(M1="Diamond",AND(N1="Diamond",AND(L2="",AND(M2="Stick",AND(N2="",AND(L3="",AND(M3="Stick",N3="")))))))),"Diamond pickaxe","")</f>
        <v/>
      </c>
      <c r="H12" t="str">
        <f>IF(AND(L1="Stick",AND(M1="",AND(N1="Stick",AND(L2="Stick",AND(M2="Stick",AND(N2="Stick",AND(L3="Stick",AND(M3="",N3="Stick")))))))),"Ladder 3"," ")</f>
        <v xml:space="preserve"> </v>
      </c>
    </row>
  </sheetData>
  <conditionalFormatting sqref="L1:L3 M1:N1">
    <cfRule type="expression" dxfId="14" priority="9">
      <formula>UIBlock="Crafting table"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4780E-1318-4286-B1C1-8A0B20477FD1}">
  <sheetPr codeName="Sheet4"/>
  <dimension ref="A1:B19"/>
  <sheetViews>
    <sheetView workbookViewId="0"/>
  </sheetViews>
  <sheetFormatPr defaultRowHeight="14.5" x14ac:dyDescent="0.35"/>
  <cols>
    <col min="1" max="1" width="8.7265625" customWidth="1"/>
  </cols>
  <sheetData>
    <row r="1" spans="1:2" ht="17.5" thickBot="1" x14ac:dyDescent="0.45">
      <c r="A1" s="3" t="s">
        <v>5</v>
      </c>
    </row>
    <row r="2" spans="1:2" ht="15" thickTop="1" x14ac:dyDescent="0.35"/>
    <row r="3" spans="1:2" ht="15" thickBot="1" x14ac:dyDescent="0.4">
      <c r="A3" s="4" t="s">
        <v>6</v>
      </c>
    </row>
    <row r="4" spans="1:2" x14ac:dyDescent="0.35">
      <c r="A4" t="s">
        <v>7</v>
      </c>
    </row>
    <row r="5" spans="1:2" x14ac:dyDescent="0.35">
      <c r="A5" t="s">
        <v>8</v>
      </c>
    </row>
    <row r="6" spans="1:2" ht="15" thickBot="1" x14ac:dyDescent="0.4">
      <c r="A6" s="4" t="s">
        <v>9</v>
      </c>
    </row>
    <row r="7" spans="1:2" x14ac:dyDescent="0.35">
      <c r="A7" t="s">
        <v>12</v>
      </c>
    </row>
    <row r="8" spans="1:2" x14ac:dyDescent="0.35">
      <c r="A8" t="s">
        <v>10</v>
      </c>
    </row>
    <row r="9" spans="1:2" x14ac:dyDescent="0.35">
      <c r="B9" t="s">
        <v>11</v>
      </c>
    </row>
    <row r="10" spans="1:2" x14ac:dyDescent="0.35">
      <c r="A10" t="s">
        <v>22</v>
      </c>
    </row>
    <row r="11" spans="1:2" x14ac:dyDescent="0.35">
      <c r="A11" t="s">
        <v>32</v>
      </c>
    </row>
    <row r="12" spans="1:2" x14ac:dyDescent="0.35">
      <c r="A12" t="s">
        <v>21</v>
      </c>
    </row>
    <row r="13" spans="1:2" x14ac:dyDescent="0.35">
      <c r="A13" t="s">
        <v>23</v>
      </c>
    </row>
    <row r="14" spans="1:2" x14ac:dyDescent="0.35">
      <c r="A14" t="s">
        <v>24</v>
      </c>
    </row>
    <row r="16" spans="1:2" ht="15" thickBot="1" x14ac:dyDescent="0.4">
      <c r="A16" s="4" t="s">
        <v>13</v>
      </c>
    </row>
    <row r="17" spans="1:1" x14ac:dyDescent="0.35">
      <c r="A17" t="s">
        <v>25</v>
      </c>
    </row>
    <row r="18" spans="1:1" x14ac:dyDescent="0.35">
      <c r="A18" t="s">
        <v>26</v>
      </c>
    </row>
    <row r="19" spans="1:1" x14ac:dyDescent="0.35">
      <c r="A19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4E75-663D-4ABE-BD5F-0D727A339ABD}">
  <sheetPr codeName="Sheet3"/>
  <dimension ref="K1:Q4"/>
  <sheetViews>
    <sheetView topLeftCell="D1" zoomScale="76" workbookViewId="0">
      <selection activeCell="Q2" sqref="Q2"/>
    </sheetView>
  </sheetViews>
  <sheetFormatPr defaultColWidth="9.08984375" defaultRowHeight="50" customHeight="1" x14ac:dyDescent="0.35"/>
  <sheetData>
    <row r="1" spans="11:17" ht="50" customHeight="1" thickTop="1" thickBot="1" x14ac:dyDescent="0.4">
      <c r="K1" s="2" t="s">
        <v>4</v>
      </c>
      <c r="L1" s="2"/>
      <c r="M1" s="2" t="s">
        <v>4</v>
      </c>
      <c r="Q1" t="str">
        <f>IF(AND(L2="Oak planks",AND(L3="Oak planks",AND(M2="Oak planks",M3="Oak planks"))),"Crafting table"," ")</f>
        <v xml:space="preserve"> </v>
      </c>
    </row>
    <row r="2" spans="11:17" ht="50" customHeight="1" thickTop="1" thickBot="1" x14ac:dyDescent="0.4">
      <c r="K2" s="2" t="s">
        <v>4</v>
      </c>
      <c r="L2" s="2" t="s">
        <v>4</v>
      </c>
      <c r="M2" s="2" t="s">
        <v>4</v>
      </c>
      <c r="O2" s="2" t="s">
        <v>17</v>
      </c>
      <c r="Q2" t="str">
        <f>_xlfn.CONCAT("=IF(AND(K1=""",K1,""",AND(L1=""",L1,""",AND(M1=""",M1,""",AND(K2=""",K2,""",AND(L2=""",L2,""",AND(M2=""",M2,""",AND(K3=""",K3,""",AND(L3=""",L3,""",M3=""",M3,""")))))))),""",O2,""","" "")")</f>
        <v>=IF(AND(K1="Stick",AND(L1="",AND(M1="Stick",AND(K2="Stick",AND(L2="Stick",AND(M2="Stick",AND(K3="Stick",AND(L3="",M3="Stick")))))))),"Ladder"," ")</v>
      </c>
    </row>
    <row r="3" spans="11:17" ht="50" customHeight="1" thickTop="1" thickBot="1" x14ac:dyDescent="0.4">
      <c r="K3" s="2" t="s">
        <v>4</v>
      </c>
      <c r="L3" s="2"/>
      <c r="M3" s="2" t="s">
        <v>4</v>
      </c>
    </row>
    <row r="4" spans="11:17" ht="50" customHeight="1" thickTop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Title Screen</vt:lpstr>
      <vt:lpstr>Game</vt:lpstr>
      <vt:lpstr>Inventory</vt:lpstr>
      <vt:lpstr>Instructions</vt:lpstr>
      <vt:lpstr>Recipe maker</vt:lpstr>
      <vt:lpstr>BigCraftingGrid</vt:lpstr>
      <vt:lpstr>CraftingResult</vt:lpstr>
      <vt:lpstr>GameScreen</vt:lpstr>
      <vt:lpstr>Inventory</vt:lpstr>
      <vt:lpstr>InventoryRow</vt:lpstr>
      <vt:lpstr>KeyboardStatus</vt:lpstr>
      <vt:lpstr>SmallCraftingGrid</vt:lpstr>
      <vt:lpstr>UIBlock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Boehm, Nathan</dc:creator>
  <cp:lastModifiedBy>Boehm, Nathan</cp:lastModifiedBy>
  <dcterms:created xsi:type="dcterms:W3CDTF">2020-11-10T15:55:53Z</dcterms:created>
  <dcterms:modified xsi:type="dcterms:W3CDTF">2022-01-13T15:12:59Z</dcterms:modified>
</cp:coreProperties>
</file>